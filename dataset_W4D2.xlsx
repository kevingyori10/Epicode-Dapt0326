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68BFEDB0A529039/Documents/"/>
    </mc:Choice>
  </mc:AlternateContent>
  <xr:revisionPtr revIDLastSave="587" documentId="8_{D9D270FD-85F9-428D-9873-32DCB5C97D33}" xr6:coauthVersionLast="47" xr6:coauthVersionMax="47" xr10:uidLastSave="{915148D2-8283-4762-AE1A-B415A602924F}"/>
  <bookViews>
    <workbookView xWindow="-108" yWindow="-108" windowWidth="23256" windowHeight="12456" activeTab="3" xr2:uid="{00000000-000D-0000-FFFF-FFFF00000000}"/>
  </bookViews>
  <sheets>
    <sheet name="Tabella1" sheetId="3" r:id="rId1"/>
    <sheet name="Strutture ricettive" sheetId="1" r:id="rId2"/>
    <sheet name="prezzi1" sheetId="5" r:id="rId3"/>
    <sheet name="RICERCA (+es)" sheetId="2" r:id="rId4"/>
    <sheet name="Foglio4" sheetId="10" r:id="rId5"/>
    <sheet name="prezzi (2)" sheetId="9" r:id="rId6"/>
    <sheet name="Output riepilogo" sheetId="12" r:id="rId7"/>
  </sheets>
  <externalReferences>
    <externalReference r:id="rId8"/>
  </externalReferences>
  <definedNames>
    <definedName name="Categoria">'Strutture ricettive'!$A$2:$A$1048576</definedName>
    <definedName name="Città">'Strutture ricettive'!$D$2:$D$1048576</definedName>
    <definedName name="DatiEsterni_1" localSheetId="5" hidden="1">'prezzi (2)'!$A$1:$B$235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Numero strutture_816bfaf6-c41c-4181-8e70-38e4433caaab" name="Numero strutture" connection="Query - Numero struttur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jmcF9VIG/CKmb8Pi+fZDefkDmLFw=="/>
    </ext>
  </extLst>
</workbook>
</file>

<file path=xl/calcChain.xml><?xml version="1.0" encoding="utf-8"?>
<calcChain xmlns="http://schemas.openxmlformats.org/spreadsheetml/2006/main">
  <c r="K11" i="12" l="1"/>
  <c r="K3" i="12"/>
  <c r="Q3" i="2" l="1"/>
  <c r="Q2" i="2"/>
  <c r="M3" i="2"/>
  <c r="M8" i="2"/>
  <c r="M16" i="2"/>
  <c r="M24" i="2"/>
  <c r="M32" i="2"/>
  <c r="M40" i="2"/>
  <c r="M48" i="2"/>
  <c r="M56" i="2"/>
  <c r="M64" i="2"/>
  <c r="M72" i="2"/>
  <c r="M79" i="2"/>
  <c r="M80" i="2"/>
  <c r="M87" i="2"/>
  <c r="M88" i="2"/>
  <c r="M95" i="2"/>
  <c r="M96" i="2"/>
  <c r="M103" i="2"/>
  <c r="M104" i="2"/>
  <c r="M111" i="2"/>
  <c r="M112" i="2"/>
  <c r="M119" i="2"/>
  <c r="M120" i="2"/>
  <c r="M127" i="2"/>
  <c r="M128" i="2"/>
  <c r="M135" i="2"/>
  <c r="M136" i="2"/>
  <c r="M143" i="2"/>
  <c r="M144" i="2"/>
  <c r="M151" i="2"/>
  <c r="M152" i="2"/>
  <c r="M159" i="2"/>
  <c r="M160" i="2"/>
  <c r="M167" i="2"/>
  <c r="M168" i="2"/>
  <c r="M175" i="2"/>
  <c r="M176" i="2"/>
  <c r="M183" i="2"/>
  <c r="M184" i="2"/>
  <c r="M191" i="2"/>
  <c r="M192" i="2"/>
  <c r="M199" i="2"/>
  <c r="M200" i="2"/>
  <c r="M207" i="2"/>
  <c r="M208" i="2"/>
  <c r="M215" i="2"/>
  <c r="M216" i="2"/>
  <c r="M223" i="2"/>
  <c r="M224" i="2"/>
  <c r="M231" i="2"/>
  <c r="M232" i="2"/>
  <c r="L3" i="2" a="1"/>
  <c r="L3" i="2" s="1"/>
  <c r="M4" i="2" s="1"/>
  <c r="N3" i="2" a="1"/>
  <c r="N3" i="2" s="1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" i="9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D29" i="10"/>
  <c r="D28" i="10"/>
  <c r="C23" i="10"/>
  <c r="B20" i="10"/>
  <c r="G1" i="9"/>
  <c r="C4" i="10"/>
  <c r="D7" i="10" s="1"/>
  <c r="C3" i="10"/>
  <c r="H8" i="10" s="1"/>
  <c r="C2" i="10"/>
  <c r="M3" i="9"/>
  <c r="M2" i="9"/>
  <c r="J9" i="9"/>
  <c r="J8" i="9"/>
  <c r="J7" i="9"/>
  <c r="J6" i="9"/>
  <c r="J5" i="9"/>
  <c r="J4" i="9"/>
  <c r="J3" i="9"/>
  <c r="G7" i="9"/>
  <c r="G6" i="9"/>
  <c r="G5" i="9"/>
  <c r="G3" i="9"/>
  <c r="G2" i="9"/>
  <c r="C7" i="2"/>
  <c r="C8" i="2"/>
  <c r="C9" i="2"/>
  <c r="C10" i="2"/>
  <c r="C6" i="2"/>
  <c r="C11" i="2" s="1"/>
  <c r="M228" i="2" l="1"/>
  <c r="M220" i="2"/>
  <c r="M212" i="2"/>
  <c r="M204" i="2"/>
  <c r="M196" i="2"/>
  <c r="M188" i="2"/>
  <c r="M180" i="2"/>
  <c r="M172" i="2"/>
  <c r="M164" i="2"/>
  <c r="M156" i="2"/>
  <c r="M148" i="2"/>
  <c r="M140" i="2"/>
  <c r="M132" i="2"/>
  <c r="M124" i="2"/>
  <c r="M116" i="2"/>
  <c r="M108" i="2"/>
  <c r="M100" i="2"/>
  <c r="M92" i="2"/>
  <c r="M84" i="2"/>
  <c r="M76" i="2"/>
  <c r="M68" i="2"/>
  <c r="M60" i="2"/>
  <c r="M52" i="2"/>
  <c r="M44" i="2"/>
  <c r="M36" i="2"/>
  <c r="M28" i="2"/>
  <c r="M20" i="2"/>
  <c r="M12" i="2"/>
  <c r="M222" i="2"/>
  <c r="M206" i="2"/>
  <c r="M190" i="2"/>
  <c r="M174" i="2"/>
  <c r="M158" i="2"/>
  <c r="M142" i="2"/>
  <c r="M134" i="2"/>
  <c r="M118" i="2"/>
  <c r="M94" i="2"/>
  <c r="M86" i="2"/>
  <c r="M70" i="2"/>
  <c r="M54" i="2"/>
  <c r="M38" i="2"/>
  <c r="M22" i="2"/>
  <c r="M6" i="2"/>
  <c r="M229" i="2"/>
  <c r="M213" i="2"/>
  <c r="M205" i="2"/>
  <c r="M189" i="2"/>
  <c r="M181" i="2"/>
  <c r="M173" i="2"/>
  <c r="M165" i="2"/>
  <c r="M157" i="2"/>
  <c r="M149" i="2"/>
  <c r="M141" i="2"/>
  <c r="M133" i="2"/>
  <c r="M125" i="2"/>
  <c r="M117" i="2"/>
  <c r="M109" i="2"/>
  <c r="M101" i="2"/>
  <c r="M93" i="2"/>
  <c r="M85" i="2"/>
  <c r="M77" i="2"/>
  <c r="M69" i="2"/>
  <c r="M61" i="2"/>
  <c r="M53" i="2"/>
  <c r="M45" i="2"/>
  <c r="M37" i="2"/>
  <c r="M29" i="2"/>
  <c r="M21" i="2"/>
  <c r="M13" i="2"/>
  <c r="M5" i="2"/>
  <c r="M235" i="2"/>
  <c r="M227" i="2"/>
  <c r="M219" i="2"/>
  <c r="M211" i="2"/>
  <c r="M203" i="2"/>
  <c r="M195" i="2"/>
  <c r="M187" i="2"/>
  <c r="M179" i="2"/>
  <c r="M171" i="2"/>
  <c r="M163" i="2"/>
  <c r="M155" i="2"/>
  <c r="M147" i="2"/>
  <c r="M139" i="2"/>
  <c r="M131" i="2"/>
  <c r="M123" i="2"/>
  <c r="M115" i="2"/>
  <c r="M107" i="2"/>
  <c r="M99" i="2"/>
  <c r="M91" i="2"/>
  <c r="M83" i="2"/>
  <c r="M75" i="2"/>
  <c r="M67" i="2"/>
  <c r="M59" i="2"/>
  <c r="M51" i="2"/>
  <c r="M43" i="2"/>
  <c r="M35" i="2"/>
  <c r="M27" i="2"/>
  <c r="M19" i="2"/>
  <c r="M11" i="2"/>
  <c r="M71" i="2"/>
  <c r="M63" i="2"/>
  <c r="M55" i="2"/>
  <c r="M47" i="2"/>
  <c r="M39" i="2"/>
  <c r="M31" i="2"/>
  <c r="M23" i="2"/>
  <c r="M15" i="2"/>
  <c r="M7" i="2"/>
  <c r="M230" i="2"/>
  <c r="M214" i="2"/>
  <c r="M198" i="2"/>
  <c r="M182" i="2"/>
  <c r="M166" i="2"/>
  <c r="M150" i="2"/>
  <c r="M126" i="2"/>
  <c r="M110" i="2"/>
  <c r="M102" i="2"/>
  <c r="M78" i="2"/>
  <c r="M62" i="2"/>
  <c r="M46" i="2"/>
  <c r="M30" i="2"/>
  <c r="M14" i="2"/>
  <c r="M236" i="2"/>
  <c r="M221" i="2"/>
  <c r="M197" i="2"/>
  <c r="M234" i="2"/>
  <c r="M226" i="2"/>
  <c r="M218" i="2"/>
  <c r="M210" i="2"/>
  <c r="M202" i="2"/>
  <c r="M194" i="2"/>
  <c r="M186" i="2"/>
  <c r="M178" i="2"/>
  <c r="M170" i="2"/>
  <c r="M162" i="2"/>
  <c r="M154" i="2"/>
  <c r="M146" i="2"/>
  <c r="M138" i="2"/>
  <c r="M130" i="2"/>
  <c r="M122" i="2"/>
  <c r="M114" i="2"/>
  <c r="M106" i="2"/>
  <c r="M98" i="2"/>
  <c r="M90" i="2"/>
  <c r="M82" i="2"/>
  <c r="M74" i="2"/>
  <c r="M66" i="2"/>
  <c r="M58" i="2"/>
  <c r="M50" i="2"/>
  <c r="M42" i="2"/>
  <c r="M34" i="2"/>
  <c r="M26" i="2"/>
  <c r="M18" i="2"/>
  <c r="M10" i="2"/>
  <c r="M233" i="2"/>
  <c r="M225" i="2"/>
  <c r="M217" i="2"/>
  <c r="M209" i="2"/>
  <c r="M201" i="2"/>
  <c r="M193" i="2"/>
  <c r="M185" i="2"/>
  <c r="M177" i="2"/>
  <c r="M169" i="2"/>
  <c r="M161" i="2"/>
  <c r="M153" i="2"/>
  <c r="M145" i="2"/>
  <c r="M137" i="2"/>
  <c r="M129" i="2"/>
  <c r="M121" i="2"/>
  <c r="M113" i="2"/>
  <c r="M105" i="2"/>
  <c r="M97" i="2"/>
  <c r="M89" i="2"/>
  <c r="M81" i="2"/>
  <c r="M73" i="2"/>
  <c r="M65" i="2"/>
  <c r="M57" i="2"/>
  <c r="M49" i="2"/>
  <c r="M41" i="2"/>
  <c r="M33" i="2"/>
  <c r="M25" i="2"/>
  <c r="M17" i="2"/>
  <c r="M9" i="2"/>
  <c r="H16" i="9"/>
  <c r="H17" i="9"/>
  <c r="B14" i="10"/>
  <c r="B17" i="10"/>
  <c r="D26" i="10"/>
  <c r="C20" i="10"/>
  <c r="C21" i="10" s="1"/>
  <c r="M5" i="9"/>
  <c r="B13" i="10"/>
  <c r="M4" i="9"/>
  <c r="C90" i="9" s="1"/>
  <c r="B16" i="10"/>
  <c r="D25" i="10"/>
  <c r="D6" i="10"/>
  <c r="J10" i="9"/>
  <c r="C2" i="9" l="1"/>
  <c r="C63" i="9"/>
  <c r="C197" i="9"/>
  <c r="C234" i="9"/>
  <c r="C4" i="9"/>
  <c r="C116" i="9"/>
  <c r="C5" i="9"/>
  <c r="C65" i="9"/>
  <c r="C216" i="9"/>
  <c r="C130" i="9"/>
  <c r="C137" i="9"/>
  <c r="C43" i="9"/>
  <c r="C183" i="9"/>
  <c r="C38" i="9"/>
  <c r="C180" i="9"/>
  <c r="C98" i="9"/>
  <c r="C129" i="9"/>
  <c r="C224" i="9"/>
  <c r="C119" i="9"/>
  <c r="C30" i="9"/>
  <c r="C124" i="9"/>
  <c r="C202" i="9"/>
  <c r="C50" i="9"/>
  <c r="C235" i="9"/>
  <c r="C96" i="9"/>
  <c r="C222" i="9"/>
  <c r="C133" i="9"/>
  <c r="C82" i="9"/>
  <c r="C152" i="9"/>
  <c r="C55" i="9"/>
  <c r="C44" i="9"/>
  <c r="C170" i="9"/>
  <c r="C18" i="9"/>
  <c r="C171" i="9"/>
  <c r="C88" i="9"/>
  <c r="C166" i="9"/>
  <c r="C69" i="9"/>
  <c r="C226" i="9"/>
  <c r="C9" i="9"/>
  <c r="C141" i="9"/>
  <c r="C162" i="9"/>
  <c r="C10" i="9"/>
  <c r="C115" i="9"/>
  <c r="C24" i="9"/>
  <c r="C158" i="9"/>
  <c r="C13" i="9"/>
  <c r="C154" i="9"/>
  <c r="C185" i="9"/>
  <c r="C107" i="9"/>
  <c r="C191" i="9"/>
  <c r="C94" i="9"/>
  <c r="C233" i="9"/>
  <c r="C121" i="9"/>
  <c r="C227" i="9"/>
  <c r="C99" i="9"/>
  <c r="C208" i="9"/>
  <c r="C80" i="9"/>
  <c r="C175" i="9"/>
  <c r="C47" i="9"/>
  <c r="C150" i="9"/>
  <c r="C22" i="9"/>
  <c r="C125" i="9"/>
  <c r="C223" i="9"/>
  <c r="C108" i="9"/>
  <c r="C218" i="9"/>
  <c r="C146" i="9"/>
  <c r="C74" i="9"/>
  <c r="C201" i="9"/>
  <c r="C105" i="9"/>
  <c r="C211" i="9"/>
  <c r="C83" i="9"/>
  <c r="C192" i="9"/>
  <c r="C64" i="9"/>
  <c r="C159" i="9"/>
  <c r="C31" i="9"/>
  <c r="C134" i="9"/>
  <c r="C6" i="9"/>
  <c r="C109" i="9"/>
  <c r="C220" i="9"/>
  <c r="C60" i="9"/>
  <c r="C210" i="9"/>
  <c r="C138" i="9"/>
  <c r="C66" i="9"/>
  <c r="C193" i="9"/>
  <c r="C73" i="9"/>
  <c r="C179" i="9"/>
  <c r="C51" i="9"/>
  <c r="C160" i="9"/>
  <c r="C32" i="9"/>
  <c r="C127" i="9"/>
  <c r="C230" i="9"/>
  <c r="C102" i="9"/>
  <c r="C205" i="9"/>
  <c r="C77" i="9"/>
  <c r="C188" i="9"/>
  <c r="C52" i="9"/>
  <c r="C194" i="9"/>
  <c r="C114" i="9"/>
  <c r="C34" i="9"/>
  <c r="C177" i="9"/>
  <c r="C57" i="9"/>
  <c r="C163" i="9"/>
  <c r="C35" i="9"/>
  <c r="C144" i="9"/>
  <c r="C16" i="9"/>
  <c r="C111" i="9"/>
  <c r="C214" i="9"/>
  <c r="C86" i="9"/>
  <c r="C189" i="9"/>
  <c r="C61" i="9"/>
  <c r="C172" i="9"/>
  <c r="C178" i="9"/>
  <c r="C106" i="9"/>
  <c r="C26" i="9"/>
  <c r="C169" i="9"/>
  <c r="C41" i="9"/>
  <c r="C147" i="9"/>
  <c r="C19" i="9"/>
  <c r="C128" i="9"/>
  <c r="C231" i="9"/>
  <c r="C95" i="9"/>
  <c r="C198" i="9"/>
  <c r="C70" i="9"/>
  <c r="C173" i="9"/>
  <c r="C45" i="9"/>
  <c r="C156" i="9"/>
  <c r="C113" i="9"/>
  <c r="C49" i="9"/>
  <c r="C219" i="9"/>
  <c r="C155" i="9"/>
  <c r="C91" i="9"/>
  <c r="C27" i="9"/>
  <c r="C200" i="9"/>
  <c r="C136" i="9"/>
  <c r="C72" i="9"/>
  <c r="C8" i="9"/>
  <c r="C167" i="9"/>
  <c r="C103" i="9"/>
  <c r="C39" i="9"/>
  <c r="C206" i="9"/>
  <c r="C142" i="9"/>
  <c r="C78" i="9"/>
  <c r="C14" i="9"/>
  <c r="C181" i="9"/>
  <c r="C117" i="9"/>
  <c r="C53" i="9"/>
  <c r="C228" i="9"/>
  <c r="C164" i="9"/>
  <c r="C100" i="9"/>
  <c r="C36" i="9"/>
  <c r="C92" i="9"/>
  <c r="C28" i="9"/>
  <c r="C186" i="9"/>
  <c r="C122" i="9"/>
  <c r="C58" i="9"/>
  <c r="C225" i="9"/>
  <c r="C161" i="9"/>
  <c r="C97" i="9"/>
  <c r="C33" i="9"/>
  <c r="C203" i="9"/>
  <c r="C139" i="9"/>
  <c r="C75" i="9"/>
  <c r="C11" i="9"/>
  <c r="C184" i="9"/>
  <c r="C120" i="9"/>
  <c r="C56" i="9"/>
  <c r="C215" i="9"/>
  <c r="C151" i="9"/>
  <c r="C87" i="9"/>
  <c r="C23" i="9"/>
  <c r="C190" i="9"/>
  <c r="C126" i="9"/>
  <c r="C62" i="9"/>
  <c r="C229" i="9"/>
  <c r="C165" i="9"/>
  <c r="C101" i="9"/>
  <c r="C37" i="9"/>
  <c r="C212" i="9"/>
  <c r="C148" i="9"/>
  <c r="C84" i="9"/>
  <c r="C20" i="9"/>
  <c r="C217" i="9"/>
  <c r="C153" i="9"/>
  <c r="C89" i="9"/>
  <c r="C25" i="9"/>
  <c r="C195" i="9"/>
  <c r="C131" i="9"/>
  <c r="C67" i="9"/>
  <c r="C3" i="9"/>
  <c r="C176" i="9"/>
  <c r="C112" i="9"/>
  <c r="C48" i="9"/>
  <c r="C207" i="9"/>
  <c r="C143" i="9"/>
  <c r="C79" i="9"/>
  <c r="C15" i="9"/>
  <c r="C182" i="9"/>
  <c r="C118" i="9"/>
  <c r="C54" i="9"/>
  <c r="C221" i="9"/>
  <c r="C157" i="9"/>
  <c r="C93" i="9"/>
  <c r="C29" i="9"/>
  <c r="C204" i="9"/>
  <c r="C140" i="9"/>
  <c r="C76" i="9"/>
  <c r="C12" i="9"/>
  <c r="C42" i="9"/>
  <c r="C209" i="9"/>
  <c r="C145" i="9"/>
  <c r="C81" i="9"/>
  <c r="C17" i="9"/>
  <c r="C187" i="9"/>
  <c r="C123" i="9"/>
  <c r="C59" i="9"/>
  <c r="C232" i="9"/>
  <c r="C168" i="9"/>
  <c r="C104" i="9"/>
  <c r="C40" i="9"/>
  <c r="C199" i="9"/>
  <c r="C135" i="9"/>
  <c r="C71" i="9"/>
  <c r="C7" i="9"/>
  <c r="C174" i="9"/>
  <c r="C110" i="9"/>
  <c r="C46" i="9"/>
  <c r="C213" i="9"/>
  <c r="C149" i="9"/>
  <c r="C85" i="9"/>
  <c r="C21" i="9"/>
  <c r="C196" i="9"/>
  <c r="C132" i="9"/>
  <c r="C68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8E0F68-FF6F-42A1-9B84-00F7946DE0EF}" name="Query - Numero strutture" description="Connessione alla query 'Numero strutture' nella cartella di lavoro." type="100" refreshedVersion="8" minRefreshableVersion="5">
    <extLst>
      <ext xmlns:x15="http://schemas.microsoft.com/office/spreadsheetml/2010/11/main" uri="{DE250136-89BD-433C-8126-D09CA5730AF9}">
        <x15:connection id="2f95d184-0c04-4320-ba9c-71a419aa840d"/>
      </ext>
    </extLst>
  </connection>
  <connection id="2" xr16:uid="{1DC8A093-DBA7-4DF9-8DE4-69A16E1849A4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3" xr16:uid="{010A3AF8-496C-47D9-8AB5-7FFDF5B3B9F7}" keepAlive="1" name="Query - prezzi (2)" description="Connessione alla query 'prezzi (2)' nella cartella di lavoro." type="5" refreshedVersion="8" background="1" saveData="1">
    <dbPr connection="Provider=Microsoft.Mashup.OleDb.1;Data Source=$Workbook$;Location=&quot;prezzi (2)&quot;;Extended Properties=&quot;&quot;" command="SELECT * FROM [prezzi (2)]"/>
  </connection>
  <connection id="4" xr16:uid="{1269336C-4C64-4338-8284-F8C208FF7305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5" xr16:uid="{84F204F5-7D75-453C-A7EF-6BEFA739DEC4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<sst xmlns="http://schemas.openxmlformats.org/spreadsheetml/2006/main" count="37760" uniqueCount="19811">
  <si>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</si>
  <si>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</si>
  <si>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</si>
  <si>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</si>
  <si>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</si>
  <si>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</si>
  <si>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</si>
  <si>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</si>
  <si>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</si>
  <si>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</si>
  <si>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</si>
  <si>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</si>
  <si>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</si>
  <si>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</si>
  <si>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</si>
  <si>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</si>
  <si>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</si>
  <si>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</si>
  <si>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</si>
  <si>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</si>
  <si>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</si>
  <si>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</si>
  <si>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</si>
  <si>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</si>
  <si>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</si>
  <si>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</si>
  <si>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</si>
  <si>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</si>
  <si>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</si>
  <si>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</si>
  <si>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</si>
  <si>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</si>
  <si>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</si>
  <si>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</si>
  <si>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</si>
  <si>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</si>
  <si>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</si>
  <si>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</si>
  <si>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</si>
  <si>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</si>
  <si>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</si>
  <si>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</si>
  <si>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</si>
  <si>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</si>
  <si>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</si>
  <si>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</si>
  <si>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</si>
  <si>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</si>
  <si>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</si>
  <si>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</si>
  <si>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</si>
  <si>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</si>
  <si>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</si>
  <si>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</si>
  <si>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</si>
  <si>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</si>
  <si>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</si>
  <si>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</si>
  <si>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</si>
  <si>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</si>
  <si>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</si>
  <si>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</si>
  <si>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</si>
  <si>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</si>
  <si>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</si>
  <si>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</si>
  <si>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</si>
  <si>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</si>
  <si>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</si>
  <si>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</si>
  <si>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</si>
  <si>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</si>
  <si>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</si>
  <si>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</si>
  <si>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</si>
  <si>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</si>
  <si>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</si>
  <si>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</si>
  <si>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</si>
  <si>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</si>
  <si>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</si>
  <si>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</si>
  <si>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</si>
  <si>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</si>
  <si>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</si>
  <si>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</si>
  <si>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</si>
  <si>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</si>
  <si>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</si>
  <si>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</si>
  <si>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</si>
  <si>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</si>
  <si>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</si>
  <si>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</si>
  <si>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</si>
  <si>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</si>
  <si>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</si>
  <si>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</si>
  <si>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</si>
  <si>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</si>
  <si>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</si>
  <si>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</si>
  <si>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</si>
  <si>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</si>
  <si>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</si>
  <si>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</si>
  <si>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</si>
  <si>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</si>
  <si>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</si>
  <si>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</si>
  <si>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</si>
  <si>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</si>
  <si>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</si>
  <si>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</si>
  <si>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</si>
  <si>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</si>
  <si>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</si>
  <si>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</si>
  <si>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</si>
  <si>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</si>
  <si>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</si>
  <si>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</si>
  <si>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</si>
  <si>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</si>
  <si>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</si>
  <si>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</si>
  <si>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</si>
  <si>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</si>
  <si>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</si>
  <si>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</si>
  <si>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</si>
  <si>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</si>
  <si>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</si>
  <si>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</si>
  <si>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</si>
  <si>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</si>
  <si>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</si>
  <si>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</si>
  <si>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</si>
  <si>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</si>
  <si>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</si>
  <si>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</si>
  <si>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</si>
  <si>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</si>
  <si>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</si>
  <si>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</si>
  <si>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</si>
  <si>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</si>
  <si>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</si>
  <si>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</si>
  <si>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</si>
  <si>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</si>
  <si>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</si>
  <si>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</si>
  <si>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</si>
  <si>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</si>
  <si>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</si>
  <si>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</si>
  <si>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</si>
  <si>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</si>
  <si>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</si>
  <si>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</si>
  <si>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</si>
  <si>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</si>
  <si>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</si>
  <si>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</si>
  <si>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</si>
  <si>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</si>
  <si>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</si>
  <si>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</si>
  <si>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</si>
  <si>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</si>
  <si>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</si>
  <si>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</si>
  <si>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</si>
  <si>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</si>
  <si>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</si>
  <si>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</si>
  <si>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</si>
  <si>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</si>
  <si>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</si>
  <si>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</si>
  <si>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</si>
  <si>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</si>
  <si>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</si>
  <si>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</si>
  <si>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</si>
  <si>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</si>
  <si>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</si>
  <si>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</si>
  <si>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</si>
  <si>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</si>
  <si>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</si>
  <si>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</si>
  <si>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</si>
  <si>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</si>
  <si>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</si>
  <si>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</si>
  <si>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</si>
  <si>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</si>
  <si>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</si>
  <si>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</si>
  <si>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</si>
  <si>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</si>
  <si>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</si>
  <si>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</si>
  <si>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</si>
  <si>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</si>
  <si>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</si>
  <si>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</si>
  <si>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</si>
  <si>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</si>
  <si>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</si>
  <si>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</si>
  <si>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</si>
  <si>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</si>
  <si>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</si>
  <si>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</si>
  <si>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</si>
  <si>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</si>
  <si>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</si>
  <si>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</si>
  <si>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</si>
  <si>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</si>
  <si>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</si>
  <si>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</si>
  <si>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</si>
  <si>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</si>
  <si>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</si>
  <si>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</si>
  <si>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</si>
  <si>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</si>
  <si>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</si>
  <si>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</si>
  <si>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</si>
  <si>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</si>
  <si>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</si>
  <si>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</si>
  <si>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</si>
  <si>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</si>
  <si>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</si>
  <si>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</si>
  <si>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</si>
  <si>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</si>
  <si>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</si>
  <si>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</si>
  <si>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</si>
  <si>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</si>
  <si>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</si>
  <si>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</si>
  <si>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</si>
  <si>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</si>
  <si>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</si>
  <si>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</si>
  <si>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</si>
  <si>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</si>
  <si>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</si>
  <si>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</si>
  <si>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</si>
  <si>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</si>
  <si>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</si>
  <si>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</si>
  <si>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</si>
  <si>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</si>
  <si>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</si>
  <si>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</si>
  <si>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</si>
  <si>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</si>
  <si>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</si>
  <si>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</si>
  <si>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</si>
  <si>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</si>
  <si>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</si>
  <si>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</si>
  <si>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</si>
  <si>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</si>
  <si>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</si>
  <si>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</si>
  <si>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</si>
  <si>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</si>
  <si>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</si>
  <si>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</si>
  <si>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</si>
  <si>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</si>
  <si>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</si>
  <si>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</si>
  <si>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</si>
  <si>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</si>
  <si>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</si>
  <si>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</si>
  <si>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</si>
  <si>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</si>
  <si>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</si>
  <si>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</si>
  <si>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</si>
  <si>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</si>
  <si>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</si>
  <si>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</si>
  <si>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</si>
  <si>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</si>
  <si>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</si>
  <si>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</si>
  <si>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</si>
  <si>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</si>
  <si>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</si>
  <si>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</si>
  <si>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</si>
  <si>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</si>
  <si>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</si>
  <si>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</si>
  <si>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</si>
  <si>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</si>
  <si>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</si>
  <si>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</si>
  <si>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</si>
  <si>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</si>
  <si>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</si>
  <si>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</si>
  <si>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</si>
  <si>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</si>
  <si>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</si>
  <si>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</si>
  <si>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</si>
  <si>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</si>
  <si>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</si>
  <si>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</si>
  <si>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</si>
  <si>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</si>
  <si>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</si>
  <si>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</si>
  <si>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</si>
  <si>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</si>
  <si>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</si>
  <si>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</si>
  <si>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</si>
  <si>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</si>
  <si>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</si>
  <si>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</si>
  <si>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</si>
  <si>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</si>
  <si>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</si>
  <si>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</si>
  <si>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</si>
  <si>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</si>
  <si>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</si>
  <si>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</si>
  <si>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</si>
  <si>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</si>
  <si>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</si>
  <si>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</si>
  <si>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</si>
  <si>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</si>
  <si>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</si>
  <si>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</si>
  <si>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</si>
  <si>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</si>
  <si>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</si>
  <si>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</si>
  <si>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</si>
  <si>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</si>
  <si>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</si>
  <si>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</si>
  <si>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</si>
  <si>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</si>
  <si>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</si>
  <si>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</si>
  <si>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</si>
  <si>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</si>
  <si>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</si>
  <si>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</si>
  <si>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</si>
  <si>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</si>
  <si>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</si>
  <si>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</si>
  <si>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</si>
  <si>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</si>
  <si>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</si>
  <si>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</si>
  <si>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</si>
  <si>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</si>
  <si>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</si>
  <si>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</si>
  <si>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</si>
  <si>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</si>
  <si>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</si>
  <si>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</si>
  <si>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</si>
  <si>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</si>
  <si>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</si>
  <si>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</si>
  <si>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</si>
  <si>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</si>
  <si>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</si>
  <si>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</si>
  <si>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</si>
  <si>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</si>
  <si>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</si>
  <si>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</si>
  <si>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</si>
  <si>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</si>
  <si>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</si>
  <si>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</si>
  <si>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</si>
  <si>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</si>
  <si>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</si>
  <si>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</si>
  <si>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</si>
  <si>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</si>
  <si>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</si>
  <si>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</si>
  <si>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</si>
  <si>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</si>
  <si>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</si>
  <si>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</si>
  <si>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</si>
  <si>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</si>
  <si>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</si>
  <si>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</si>
  <si>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</si>
  <si>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</si>
  <si>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</si>
  <si>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</si>
  <si>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</si>
  <si>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</si>
  <si>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</si>
  <si>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</si>
  <si>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</si>
  <si>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</si>
  <si>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</si>
  <si>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</si>
  <si>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</si>
  <si>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</si>
  <si>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</si>
  <si>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</si>
  <si>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</si>
  <si>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</si>
  <si>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</si>
  <si>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</si>
  <si>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</si>
  <si>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</si>
  <si>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</si>
  <si>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</si>
  <si>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</si>
  <si>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</si>
  <si>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</si>
  <si>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</si>
  <si>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</si>
  <si>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</si>
  <si>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</si>
  <si>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</si>
  <si>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</si>
  <si>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</si>
  <si>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</si>
  <si>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</si>
  <si>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</si>
  <si>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</si>
  <si>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</si>
  <si>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</si>
  <si>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</si>
  <si>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</si>
  <si>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</si>
  <si>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</si>
  <si>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</si>
  <si>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</si>
  <si>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</si>
  <si>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</si>
  <si>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</si>
  <si>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</si>
  <si>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</si>
  <si>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</si>
  <si>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</si>
  <si>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</si>
  <si>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</si>
  <si>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</si>
  <si>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</si>
  <si>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</si>
  <si>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</si>
  <si>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</si>
  <si>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</si>
  <si>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</si>
  <si>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</si>
  <si>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</si>
  <si>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</si>
  <si>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</si>
  <si>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</si>
  <si>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</si>
  <si>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</si>
  <si>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</si>
  <si>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</si>
  <si>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</si>
  <si>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</si>
  <si>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</si>
  <si>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</si>
  <si>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</si>
  <si>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</si>
  <si>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</si>
  <si>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</si>
  <si>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</si>
  <si>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</si>
  <si>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</si>
  <si>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</si>
  <si>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</si>
  <si>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</si>
  <si>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</si>
  <si>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</si>
  <si>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</si>
  <si>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</si>
  <si>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</si>
  <si>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</si>
  <si>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</si>
  <si>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</si>
  <si>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</si>
  <si>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</si>
  <si>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</si>
  <si>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</si>
  <si>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</si>
  <si>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</si>
  <si>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</si>
  <si>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</si>
  <si>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</si>
  <si>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</si>
  <si>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</si>
  <si>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</si>
  <si>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</si>
  <si>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</si>
  <si>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</si>
  <si>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</si>
  <si>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</si>
  <si>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</si>
  <si>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</si>
  <si>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</si>
  <si>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</si>
  <si>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</si>
  <si>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</si>
  <si>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</si>
  <si>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</si>
  <si>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</si>
  <si>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</si>
  <si>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</si>
  <si>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</si>
  <si>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</si>
  <si>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</si>
  <si>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</si>
  <si>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</si>
  <si>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</si>
  <si>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</si>
  <si>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</si>
  <si>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</si>
  <si>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</si>
  <si>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</si>
  <si>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</si>
  <si>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</si>
  <si>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</si>
  <si>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</si>
  <si>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</si>
  <si>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</si>
  <si>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</si>
  <si>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</si>
  <si>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</si>
  <si>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</si>
  <si>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</si>
  <si>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</si>
  <si>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</si>
  <si>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</si>
  <si>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</si>
  <si>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</si>
  <si>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</si>
  <si>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</si>
  <si>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</si>
  <si>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</si>
  <si>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</si>
  <si>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</si>
  <si>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</si>
  <si>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</si>
  <si>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</si>
  <si>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</si>
  <si>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</si>
  <si>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</si>
  <si>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</si>
  <si>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</si>
  <si>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</si>
  <si>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</si>
  <si>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</si>
  <si>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</si>
  <si>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</si>
  <si>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</si>
  <si>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</si>
  <si>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</si>
  <si>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</si>
  <si>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</si>
  <si>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</si>
  <si>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</si>
  <si>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</si>
  <si>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</si>
  <si>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</si>
  <si>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</si>
  <si>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</si>
  <si>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</si>
  <si>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</si>
  <si>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</si>
  <si>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</si>
  <si>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</si>
  <si>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</si>
  <si>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</si>
  <si>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</si>
  <si>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</si>
  <si>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</si>
  <si>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</si>
  <si>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</si>
  <si>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</si>
  <si>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</si>
  <si>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</si>
  <si>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</si>
  <si>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</si>
  <si>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</si>
  <si>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</si>
  <si>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</si>
  <si>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</si>
  <si>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</si>
  <si>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</si>
  <si>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</si>
  <si>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</si>
  <si>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</si>
  <si>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</si>
  <si>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</si>
  <si>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</si>
  <si>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</si>
  <si>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</si>
  <si>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</si>
  <si>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</si>
  <si>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</si>
  <si>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</si>
  <si>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</si>
  <si>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</si>
  <si>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</si>
  <si>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</si>
  <si>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</si>
  <si>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</si>
  <si>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</si>
  <si>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</si>
  <si>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</si>
  <si>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</si>
  <si>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</si>
  <si>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</si>
  <si>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</si>
  <si>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</si>
  <si>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</si>
  <si>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</si>
  <si>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</si>
  <si>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</si>
  <si>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</si>
  <si>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</si>
  <si>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</si>
  <si>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</si>
  <si>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</si>
  <si>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</si>
  <si>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</si>
  <si>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</si>
  <si>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</si>
  <si>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</si>
  <si>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</si>
  <si>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</si>
  <si>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</si>
  <si>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</si>
  <si>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</si>
  <si>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</si>
  <si>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</si>
  <si>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</si>
  <si>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</si>
  <si>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</si>
  <si>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</si>
  <si>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</si>
  <si>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</si>
  <si>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</si>
  <si>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</si>
  <si>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</si>
  <si>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</si>
  <si>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</si>
  <si>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</si>
  <si>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</si>
  <si>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</si>
  <si>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</si>
  <si>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</si>
  <si>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</si>
  <si>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</si>
  <si>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</si>
  <si>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</si>
  <si>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</si>
  <si>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</si>
  <si>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</si>
  <si>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</si>
  <si>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</si>
  <si>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</si>
  <si>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</si>
  <si>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</si>
  <si>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</si>
  <si>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</si>
  <si>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</si>
  <si>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</si>
  <si>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</si>
  <si>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</si>
  <si>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</si>
  <si>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</si>
  <si>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</si>
  <si>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</si>
  <si>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</si>
  <si>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</si>
  <si>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</si>
  <si>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</si>
  <si>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</si>
  <si>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</si>
  <si>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</si>
  <si>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</si>
  <si>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</si>
  <si>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</si>
  <si>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</si>
  <si>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</si>
  <si>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</si>
  <si>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</si>
  <si>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</si>
  <si>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</si>
  <si>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</si>
  <si>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</si>
  <si>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</si>
  <si>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</si>
  <si>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</si>
  <si>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</si>
  <si>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</si>
  <si>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</si>
  <si>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</si>
  <si>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</si>
  <si>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</si>
  <si>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</si>
  <si>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</si>
  <si>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</si>
  <si>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</si>
  <si>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</si>
  <si>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</si>
  <si>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</si>
  <si>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</si>
  <si>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</si>
  <si>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</si>
  <si>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</si>
  <si>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</si>
  <si>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</si>
  <si>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</si>
  <si>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</si>
  <si>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</si>
  <si>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</si>
  <si>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</si>
  <si>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</si>
  <si>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</si>
  <si>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</si>
  <si>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</si>
  <si>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</si>
  <si>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</si>
  <si>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</si>
  <si>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</si>
  <si>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</si>
  <si>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</si>
  <si>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</si>
  <si>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</si>
  <si>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</si>
  <si>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</si>
  <si>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</si>
  <si>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</si>
  <si>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</si>
  <si>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</si>
  <si>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</si>
  <si>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</si>
  <si>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</si>
  <si>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</si>
  <si>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</si>
  <si>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</si>
  <si>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</si>
  <si>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</si>
  <si>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</si>
  <si>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</si>
  <si>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</si>
  <si>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</si>
  <si>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</si>
  <si>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</si>
  <si>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</si>
  <si>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</si>
  <si>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</si>
  <si>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</si>
  <si>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</si>
  <si>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</si>
  <si>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</si>
  <si>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</si>
  <si>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</si>
  <si>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</si>
  <si>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</si>
  <si>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</si>
  <si>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</si>
  <si>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</si>
  <si>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</si>
  <si>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</si>
  <si>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</si>
  <si>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</si>
  <si>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</si>
  <si>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</si>
  <si>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</si>
  <si>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</si>
  <si>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</si>
  <si>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</si>
  <si>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</si>
  <si>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</si>
  <si>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</si>
  <si>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</si>
  <si>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</si>
  <si>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</si>
  <si>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</si>
  <si>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</si>
  <si>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</si>
  <si>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</si>
  <si>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</si>
  <si>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</si>
  <si>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</si>
  <si>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</si>
  <si>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</si>
  <si>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</si>
  <si>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</si>
  <si>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</si>
  <si>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</si>
  <si>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</si>
  <si>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</si>
  <si>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</si>
  <si>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</si>
  <si>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</si>
  <si>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</si>
  <si>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</si>
  <si>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</si>
  <si>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</si>
  <si>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</si>
  <si>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</si>
  <si>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</si>
  <si>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</si>
  <si>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</si>
  <si>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</si>
  <si>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</si>
  <si>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</si>
  <si>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</si>
  <si>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</si>
  <si>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</si>
  <si>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</si>
  <si>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</si>
  <si>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</si>
  <si>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</si>
  <si>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</si>
  <si>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</si>
  <si>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</si>
  <si>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</si>
  <si>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</si>
  <si>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</si>
  <si>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</si>
  <si>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</si>
  <si>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</si>
  <si>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</si>
  <si>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</si>
  <si>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</si>
  <si>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</si>
  <si>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</si>
  <si>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</si>
  <si>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</si>
  <si>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</si>
  <si>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</si>
  <si>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</si>
  <si>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</si>
  <si>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</si>
  <si>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</si>
  <si>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</si>
  <si>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</si>
  <si>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</si>
  <si>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</si>
  <si>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</si>
  <si>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</si>
  <si>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</si>
  <si>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</si>
  <si>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</si>
  <si>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</si>
  <si>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</si>
  <si>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</si>
  <si>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</si>
  <si>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</si>
  <si>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</si>
  <si>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</si>
  <si>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</si>
  <si>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</si>
  <si>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</si>
  <si>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</si>
  <si>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</si>
  <si>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</si>
  <si>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</si>
  <si>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</si>
  <si>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</si>
  <si>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</si>
  <si>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</si>
  <si>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</si>
  <si>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</si>
  <si>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</si>
  <si>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</si>
  <si>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</si>
  <si>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</si>
  <si>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</si>
  <si>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</si>
  <si>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</si>
  <si>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</si>
  <si>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</si>
  <si>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</si>
  <si>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</si>
  <si>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</si>
  <si>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</si>
  <si>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</si>
  <si>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</si>
  <si>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</si>
  <si>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</si>
  <si>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</si>
  <si>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</si>
  <si>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</si>
  <si>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</si>
  <si>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</si>
  <si>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</si>
  <si>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</si>
  <si>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</si>
  <si>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</si>
  <si>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</si>
  <si>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</si>
  <si>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</si>
  <si>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</si>
  <si>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</si>
  <si>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</si>
  <si>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</si>
  <si>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</si>
  <si>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</si>
  <si>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</si>
  <si>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</si>
  <si>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</si>
  <si>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</si>
  <si>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</si>
  <si>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</si>
  <si>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</si>
  <si>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</si>
  <si>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</si>
  <si>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</si>
  <si>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</si>
  <si>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</si>
  <si>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</si>
  <si>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</si>
  <si>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</si>
  <si>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</si>
  <si>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</si>
  <si>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</si>
  <si>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</si>
  <si>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</si>
  <si>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</si>
  <si>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</si>
  <si>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</si>
  <si>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</si>
  <si>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</si>
  <si>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</si>
  <si>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</si>
  <si>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</si>
  <si>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</si>
  <si>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</si>
  <si>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</si>
  <si>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</si>
  <si>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</si>
  <si>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</si>
  <si>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</si>
  <si>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</si>
  <si>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</si>
  <si>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</si>
  <si>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</si>
  <si>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</si>
  <si>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</si>
  <si>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</si>
  <si>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</si>
  <si>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</si>
  <si>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</si>
  <si>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</si>
  <si>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</si>
  <si>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</si>
  <si>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</si>
  <si>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</si>
  <si>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</si>
  <si>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</si>
  <si>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</si>
  <si>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</si>
  <si>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</si>
  <si>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</si>
  <si>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</si>
  <si>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</si>
  <si>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</si>
  <si>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</si>
  <si>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</si>
  <si>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</si>
  <si>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</si>
  <si>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</si>
  <si>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</si>
  <si>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</si>
  <si>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</si>
  <si>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</si>
  <si>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</si>
  <si>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</si>
  <si>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</si>
  <si>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</si>
  <si>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</si>
  <si>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</si>
  <si>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</si>
  <si>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</si>
  <si>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</si>
  <si>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</si>
  <si>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</si>
  <si>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</si>
  <si>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</si>
  <si>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</si>
  <si>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</si>
  <si>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</si>
  <si>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</si>
  <si>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</si>
  <si>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</si>
  <si>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</si>
  <si>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</si>
  <si>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</si>
  <si>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</si>
  <si>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</si>
  <si>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</si>
  <si>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</si>
  <si>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</si>
  <si>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</si>
  <si>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</si>
  <si>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</si>
  <si>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</si>
  <si>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</si>
  <si>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</si>
  <si>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</si>
  <si>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</si>
  <si>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</si>
  <si>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</si>
  <si>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</si>
  <si>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</si>
  <si>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</si>
  <si>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</si>
  <si>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</si>
  <si>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</si>
  <si>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</si>
  <si>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</si>
  <si>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</si>
  <si>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</si>
  <si>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</si>
  <si>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</si>
  <si>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</si>
  <si>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</si>
  <si>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</si>
  <si>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</si>
  <si>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</si>
  <si>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</si>
  <si>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</si>
  <si>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</si>
  <si>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</si>
  <si>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</si>
  <si>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</si>
  <si>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</si>
  <si>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</si>
  <si>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</si>
  <si>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</si>
  <si>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</si>
  <si>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</si>
  <si>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</si>
  <si>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</si>
  <si>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</si>
  <si>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</si>
  <si>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</si>
  <si>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</si>
  <si>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</si>
  <si>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</si>
  <si>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</si>
  <si>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</si>
  <si>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</si>
  <si>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</si>
  <si>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</si>
  <si>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</si>
  <si>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</si>
  <si>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</si>
  <si>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</si>
  <si>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</si>
  <si>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</si>
  <si>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</si>
  <si>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</si>
  <si>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</si>
  <si>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</si>
  <si>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</si>
  <si>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</si>
  <si>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</si>
  <si>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</si>
  <si>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</si>
  <si>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</si>
  <si>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</si>
  <si>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</si>
  <si>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</si>
  <si>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</si>
  <si>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</si>
  <si>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</si>
  <si>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</si>
  <si>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</si>
  <si>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</si>
  <si>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</si>
  <si>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</si>
  <si>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</si>
  <si>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</si>
  <si>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</si>
  <si>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</si>
  <si>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</si>
  <si>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</si>
  <si>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</si>
  <si>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</si>
  <si>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</si>
  <si>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</si>
  <si>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</si>
  <si>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</si>
  <si>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</si>
  <si>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</si>
  <si>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</si>
  <si>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</si>
  <si>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</si>
  <si>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</si>
  <si>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</si>
  <si>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</si>
  <si>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</si>
  <si>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</si>
  <si>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</si>
  <si>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</si>
  <si>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</si>
  <si>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</si>
  <si>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</si>
  <si>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</si>
  <si>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</si>
  <si>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</si>
  <si>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</si>
  <si>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</si>
  <si>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</si>
  <si>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</si>
  <si>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</si>
  <si>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</si>
  <si>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</si>
  <si>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</si>
  <si>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</si>
  <si>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</si>
  <si>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</si>
  <si>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</si>
  <si>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</si>
  <si>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</si>
  <si>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</si>
  <si>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</si>
  <si>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</si>
  <si>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</si>
  <si>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</si>
  <si>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</si>
  <si>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</si>
  <si>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</si>
  <si>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</si>
  <si>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</si>
  <si>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</si>
  <si>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</si>
  <si>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</si>
  <si>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</si>
  <si>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</si>
  <si>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</si>
  <si>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</si>
  <si>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</si>
  <si>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</si>
  <si>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</si>
  <si>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</si>
  <si>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</si>
  <si>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</si>
  <si>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</si>
  <si>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</si>
  <si>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</si>
  <si>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</si>
  <si>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</si>
  <si>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</si>
  <si>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</si>
  <si>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</si>
  <si>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</si>
  <si>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</si>
  <si>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</si>
  <si>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</si>
  <si>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</si>
  <si>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</si>
  <si>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</si>
  <si>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</si>
  <si>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</si>
  <si>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</si>
  <si>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</si>
  <si>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</si>
  <si>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</si>
  <si>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</si>
  <si>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</si>
  <si>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</si>
  <si>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</si>
  <si>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</si>
  <si>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</si>
  <si>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</si>
  <si>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</si>
  <si>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</si>
  <si>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</si>
  <si>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</si>
  <si>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</si>
  <si>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</si>
  <si>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</si>
  <si>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</si>
  <si>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</si>
  <si>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</si>
  <si>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</si>
  <si>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</si>
  <si>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</si>
  <si>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</si>
  <si>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</si>
  <si>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</si>
  <si>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</si>
  <si>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</si>
  <si>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</si>
  <si>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</si>
  <si>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</si>
  <si>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</si>
  <si>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</si>
  <si>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</si>
  <si>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</si>
  <si>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</si>
  <si>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</si>
  <si>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</si>
  <si>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</si>
  <si>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</si>
  <si>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</si>
  <si>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</si>
  <si>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</si>
  <si>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</si>
  <si>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</si>
  <si>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</si>
  <si>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</si>
  <si>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</si>
  <si>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</si>
  <si>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</si>
  <si>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</si>
  <si>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</si>
  <si>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</si>
  <si>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</si>
  <si>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</si>
  <si>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</si>
  <si>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</si>
  <si>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</si>
  <si>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</si>
  <si>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</si>
  <si>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</si>
  <si>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</si>
  <si>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</si>
  <si>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</si>
  <si>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</si>
  <si>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</si>
  <si>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</si>
  <si>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</si>
  <si>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</si>
  <si>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</si>
  <si>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</si>
  <si>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</si>
  <si>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</si>
  <si>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</si>
  <si>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</si>
  <si>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</si>
  <si>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</si>
  <si>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</si>
  <si>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</si>
  <si>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</si>
  <si>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</si>
  <si>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</si>
  <si>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</si>
  <si>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</si>
  <si>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</si>
  <si>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</si>
  <si>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</si>
  <si>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</si>
  <si>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</si>
  <si>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</si>
  <si>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</si>
  <si>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</si>
  <si>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</si>
  <si>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</si>
  <si>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</si>
  <si>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</si>
  <si>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</si>
  <si>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</si>
  <si>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</si>
  <si>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</si>
  <si>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</si>
  <si>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</si>
  <si>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</si>
  <si>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</si>
  <si>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</si>
  <si>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</si>
  <si>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</si>
  <si>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</si>
  <si>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</si>
  <si>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</si>
  <si>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</si>
  <si>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</si>
  <si>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</si>
  <si>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</si>
  <si>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</si>
  <si>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</si>
  <si>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</si>
  <si>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</si>
  <si>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</si>
  <si>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</si>
  <si>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</si>
  <si>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</si>
  <si>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</si>
  <si>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</si>
  <si>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</si>
  <si>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</si>
  <si>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</si>
  <si>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</si>
  <si>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</si>
  <si>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</si>
  <si>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</si>
  <si>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</si>
  <si>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</si>
  <si>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</si>
  <si>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</si>
  <si>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</si>
  <si>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</si>
  <si>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</si>
  <si>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</si>
  <si>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</si>
  <si>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</si>
  <si>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</si>
  <si>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</si>
  <si>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</si>
  <si>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</si>
  <si>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</si>
  <si>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</si>
  <si>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</si>
  <si>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</si>
  <si>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</si>
  <si>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</si>
  <si>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</si>
  <si>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</si>
  <si>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</si>
  <si>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</si>
  <si>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</si>
  <si>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</si>
  <si>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</si>
  <si>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</si>
  <si>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</si>
  <si>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</si>
  <si>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</si>
  <si>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</si>
  <si>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</si>
  <si>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</si>
  <si>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</si>
  <si>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</si>
  <si>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</si>
  <si>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</si>
  <si>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</si>
  <si>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</si>
  <si>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</si>
  <si>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</si>
  <si>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</si>
  <si>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</si>
  <si>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</si>
  <si>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</si>
  <si>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</si>
  <si>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</si>
  <si>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</si>
  <si>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</si>
  <si>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</si>
  <si>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</si>
  <si>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</si>
  <si>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</si>
  <si>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</si>
  <si>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</si>
  <si>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</si>
  <si>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</si>
  <si>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</si>
  <si>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</si>
  <si>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</si>
  <si>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</si>
  <si>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</si>
  <si>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</si>
  <si>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</si>
  <si>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</si>
  <si>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</si>
  <si>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</si>
  <si>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</si>
  <si>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</si>
  <si>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</si>
  <si>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</si>
  <si>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</si>
  <si>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</si>
  <si>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</si>
  <si>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</si>
  <si>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</si>
  <si>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</si>
  <si>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</si>
  <si>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</si>
  <si>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</si>
  <si>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</si>
  <si>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</si>
  <si>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</si>
  <si>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</si>
  <si>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</si>
  <si>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</si>
  <si>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</si>
  <si>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</si>
  <si>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</si>
  <si>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</si>
  <si>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</si>
  <si>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</si>
  <si>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</si>
  <si>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</si>
  <si>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</si>
  <si>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</si>
  <si>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</si>
  <si>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</si>
  <si>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</si>
  <si>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</si>
  <si>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</si>
  <si>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</si>
  <si>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</si>
  <si>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</si>
  <si>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</si>
  <si>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</si>
  <si>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</si>
  <si>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</si>
  <si>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</si>
  <si>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</si>
  <si>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</si>
  <si>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</si>
  <si>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</si>
  <si>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</si>
  <si>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</si>
  <si>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</si>
  <si>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</si>
  <si>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</si>
  <si>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</si>
  <si>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</si>
  <si>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</si>
  <si>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</si>
  <si>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</si>
  <si>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</si>
  <si>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</si>
  <si>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</si>
  <si>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</si>
  <si>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</si>
  <si>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</si>
  <si>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</si>
  <si>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</si>
  <si>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</si>
  <si>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</si>
  <si>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</si>
  <si>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</si>
  <si>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</si>
  <si>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</si>
  <si>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</si>
  <si>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</si>
  <si>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</si>
  <si>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</si>
  <si>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</si>
  <si>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</si>
  <si>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</si>
  <si>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</si>
  <si>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</si>
  <si>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</si>
  <si>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</si>
  <si>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</si>
  <si>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</si>
  <si>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</si>
  <si>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</si>
  <si>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</si>
  <si>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</si>
  <si>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</si>
  <si>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</si>
  <si>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</si>
  <si>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</si>
  <si>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</si>
  <si>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</si>
  <si>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</si>
  <si>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</si>
  <si>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</si>
  <si>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</si>
  <si>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</si>
  <si>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</si>
  <si>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</si>
  <si>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</si>
  <si>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</si>
  <si>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</si>
  <si>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</si>
  <si>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</si>
  <si>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</si>
  <si>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</si>
  <si>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</si>
  <si>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</si>
  <si>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</si>
  <si>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</si>
  <si>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</si>
  <si>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</si>
  <si>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</si>
  <si>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</si>
  <si>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</si>
  <si>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</si>
  <si>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</si>
  <si>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</si>
  <si>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</si>
  <si>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</si>
  <si>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</si>
  <si>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</si>
  <si>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</si>
  <si>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</si>
  <si>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</si>
  <si>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</si>
  <si>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</si>
  <si>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</si>
  <si>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</si>
  <si>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</si>
  <si>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</si>
  <si>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</si>
  <si>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</si>
  <si>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</si>
  <si>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</si>
  <si>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</si>
  <si>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</si>
  <si>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</si>
  <si>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</si>
  <si>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</si>
  <si>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</si>
  <si>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</si>
  <si>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</si>
  <si>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</si>
  <si>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</si>
  <si>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</si>
  <si>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</si>
  <si>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</si>
  <si>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</si>
  <si>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</si>
  <si>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</si>
  <si>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</si>
  <si>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</si>
  <si>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</si>
  <si>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</si>
  <si>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</si>
  <si>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</si>
  <si>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</si>
  <si>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</si>
  <si>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</si>
  <si>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</si>
  <si>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</si>
  <si>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</si>
  <si>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</si>
  <si>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</si>
  <si>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</si>
  <si>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</si>
  <si>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</si>
  <si>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</si>
  <si>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</si>
  <si>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</si>
  <si>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</si>
  <si>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</si>
  <si>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</si>
  <si>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</si>
  <si>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</si>
  <si>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</si>
  <si>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</si>
  <si>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</si>
  <si>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</si>
  <si>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</si>
  <si>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</si>
  <si>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</si>
  <si>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</si>
  <si>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</si>
  <si>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</si>
  <si>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</si>
  <si>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</si>
  <si>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</si>
  <si>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</si>
  <si>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</si>
  <si>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</si>
  <si>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</si>
  <si>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</si>
  <si>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</si>
  <si>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</si>
  <si>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</si>
  <si>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</si>
  <si>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</si>
  <si>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</si>
  <si>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</si>
  <si>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</si>
  <si>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</si>
  <si>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</si>
  <si>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</si>
  <si>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</si>
  <si>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</si>
  <si>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</si>
  <si>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</si>
  <si>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</si>
  <si>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</si>
  <si>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</si>
  <si>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</si>
  <si>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</si>
  <si>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</si>
  <si>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</si>
  <si>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</si>
  <si>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</si>
  <si>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</si>
  <si>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</si>
  <si>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</si>
  <si>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</si>
  <si>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</si>
  <si>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</si>
  <si>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</si>
  <si>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</si>
  <si>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</si>
  <si>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</si>
  <si>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</si>
  <si>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</si>
  <si>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</si>
  <si>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</si>
  <si>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</si>
  <si>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</si>
  <si>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</si>
  <si>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</si>
  <si>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</si>
  <si>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</si>
  <si>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</si>
  <si>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</si>
  <si>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</si>
  <si>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</si>
  <si>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</si>
  <si>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</si>
  <si>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</si>
  <si>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</si>
  <si>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</si>
  <si>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</si>
  <si>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</si>
  <si>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</si>
  <si>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</si>
  <si>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</si>
  <si>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</si>
  <si>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</si>
  <si>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</si>
  <si>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</si>
  <si>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</si>
  <si>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</si>
  <si>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</si>
  <si>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</si>
  <si>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</si>
  <si>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</si>
  <si>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</si>
  <si>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</si>
  <si>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</si>
  <si>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</si>
  <si>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</si>
  <si>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</si>
  <si>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</si>
  <si>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</si>
  <si>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</si>
  <si>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</si>
  <si>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</si>
  <si>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</si>
  <si>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</si>
  <si>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</si>
  <si>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</si>
  <si>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</si>
  <si>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</si>
  <si>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</si>
  <si>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</si>
  <si>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</si>
  <si>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</si>
  <si>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</si>
  <si>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</si>
  <si>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</si>
  <si>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</si>
  <si>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</si>
  <si>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</si>
  <si>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</si>
  <si>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</si>
  <si>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</si>
  <si>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</si>
  <si>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</si>
  <si>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</si>
  <si>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</si>
  <si>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</si>
  <si>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</si>
  <si>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</si>
  <si>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</si>
  <si>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</si>
  <si>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</si>
  <si>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</si>
  <si>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</si>
  <si>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</si>
  <si>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</si>
  <si>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</si>
  <si>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</si>
  <si>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</si>
  <si>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</si>
  <si>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</si>
  <si>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</si>
  <si>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</si>
  <si>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</si>
  <si>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</si>
  <si>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</si>
  <si>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</si>
  <si>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</si>
  <si>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</si>
  <si>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</si>
  <si>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</si>
  <si>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</si>
  <si>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</si>
  <si>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</si>
  <si>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</si>
  <si>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</si>
  <si>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</si>
  <si>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</si>
  <si>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</si>
  <si>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</si>
  <si>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</si>
  <si>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</si>
  <si>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</si>
  <si>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</si>
  <si>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</si>
  <si>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</si>
  <si>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</si>
  <si>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</si>
  <si>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</si>
  <si>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</si>
  <si>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</si>
  <si>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</si>
  <si>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</si>
  <si>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</si>
  <si>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</si>
  <si>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</si>
  <si>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</si>
  <si>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</si>
  <si>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</si>
  <si>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</si>
  <si>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</si>
  <si>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</si>
  <si>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</si>
  <si>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</si>
  <si>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</si>
  <si>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</si>
  <si>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</si>
  <si>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</si>
  <si>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</si>
  <si>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</si>
  <si>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</si>
  <si>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</si>
  <si>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</si>
  <si>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</si>
  <si>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</si>
  <si>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</si>
  <si>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</si>
  <si>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</si>
  <si>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</si>
  <si>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</si>
  <si>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</si>
  <si>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</si>
  <si>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</si>
  <si>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</si>
  <si>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</si>
  <si>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</si>
  <si>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</si>
  <si>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</si>
  <si>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</si>
  <si>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</si>
  <si>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</si>
  <si>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</si>
  <si>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</si>
  <si>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</si>
  <si>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</si>
  <si>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</si>
  <si>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</si>
  <si>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</si>
  <si>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</si>
  <si>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</si>
  <si>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</si>
  <si>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</si>
  <si>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</si>
  <si>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</si>
  <si>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</si>
  <si>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</si>
  <si>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</si>
  <si>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</si>
  <si>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</si>
  <si>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</si>
  <si>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</si>
  <si>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</si>
  <si>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</si>
  <si>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</si>
  <si>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</si>
  <si>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</si>
  <si>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</si>
  <si>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</si>
  <si>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</si>
  <si>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</si>
  <si>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</si>
  <si>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</si>
  <si>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</si>
  <si>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</si>
  <si>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</si>
  <si>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</si>
  <si>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</si>
  <si>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</si>
  <si>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</si>
  <si>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</si>
  <si>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</si>
  <si>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</si>
  <si>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</si>
  <si>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</si>
  <si>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</si>
  <si>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</si>
  <si>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</si>
  <si>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</si>
  <si>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</si>
  <si>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</si>
  <si>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</si>
  <si>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</si>
  <si>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</si>
  <si>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</si>
  <si>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</si>
  <si>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</si>
  <si>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</si>
  <si>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</si>
  <si>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</si>
  <si>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</si>
  <si>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</si>
  <si>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</si>
  <si>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</si>
  <si>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</si>
  <si>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</si>
  <si>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</si>
  <si>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</si>
  <si>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</si>
  <si>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</si>
  <si>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</si>
  <si>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</si>
  <si>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</si>
  <si>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</si>
  <si>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</si>
  <si>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</si>
  <si>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</si>
  <si>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</si>
  <si>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</si>
  <si>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</si>
  <si>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</si>
  <si>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</si>
  <si>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</si>
  <si>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</si>
  <si>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</si>
  <si>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</si>
  <si>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</si>
  <si>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</si>
  <si>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</si>
  <si>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</si>
  <si>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</si>
  <si>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</si>
  <si>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</si>
  <si>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</si>
  <si>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</si>
  <si>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</si>
  <si>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</si>
  <si>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</si>
  <si>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</si>
  <si>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</si>
  <si>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</si>
  <si>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</si>
  <si>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</si>
  <si>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</si>
  <si>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</si>
  <si>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</si>
  <si>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</si>
  <si>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</si>
  <si>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</si>
  <si>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</si>
  <si>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</si>
  <si>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</si>
  <si>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</si>
  <si>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</si>
  <si>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</si>
  <si>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</si>
  <si>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</si>
  <si>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</si>
  <si>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</si>
  <si>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</si>
  <si>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</si>
  <si>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</si>
  <si>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</si>
  <si>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</si>
  <si>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</si>
  <si>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</si>
  <si>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</si>
  <si>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</si>
  <si>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</si>
  <si>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</si>
  <si>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</si>
  <si>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</si>
  <si>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</si>
  <si>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</si>
  <si>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</si>
  <si>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</si>
  <si>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</si>
  <si>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</si>
  <si>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</si>
  <si>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</si>
  <si>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</si>
  <si>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</si>
  <si>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</si>
  <si>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</si>
  <si>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</si>
  <si>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</si>
  <si>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</si>
  <si>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</si>
  <si>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</si>
  <si>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</si>
  <si>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</si>
  <si>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</si>
  <si>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</si>
  <si>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</si>
  <si>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</si>
  <si>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</si>
  <si>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</si>
  <si>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</si>
  <si>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</si>
  <si>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</si>
  <si>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</si>
  <si>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</si>
  <si>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</si>
  <si>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</si>
  <si>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</si>
  <si>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</si>
  <si>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</si>
  <si>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</si>
  <si>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</si>
  <si>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</si>
  <si>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</si>
  <si>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</si>
  <si>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</si>
  <si>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</si>
  <si>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</si>
  <si>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</si>
  <si>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</si>
  <si>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</si>
  <si>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</si>
  <si>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</si>
  <si>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</si>
  <si>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</si>
  <si>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</si>
  <si>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</si>
  <si>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</si>
  <si>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</si>
  <si>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</si>
  <si>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</si>
  <si>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</si>
  <si>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</si>
  <si>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</si>
  <si>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</si>
  <si>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</si>
  <si>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</si>
  <si>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</si>
  <si>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</si>
  <si>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</si>
  <si>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</si>
  <si>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</si>
  <si>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</si>
  <si>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</si>
  <si>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</si>
  <si>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</si>
  <si>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</si>
  <si>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</si>
  <si>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</si>
  <si>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</si>
  <si>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</si>
  <si>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</si>
  <si>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</si>
  <si>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</si>
  <si>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</si>
  <si>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</si>
  <si>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</si>
  <si>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</si>
  <si>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</si>
  <si>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</si>
  <si>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</si>
  <si>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</si>
  <si>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</si>
  <si>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</si>
  <si>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</si>
  <si>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</si>
  <si>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</si>
  <si>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</si>
  <si>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</si>
  <si>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</si>
  <si>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</si>
  <si>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</si>
  <si>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</si>
  <si>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</si>
  <si>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</si>
  <si>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</si>
  <si>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</si>
  <si>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</si>
  <si>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</si>
  <si>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</si>
  <si>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</si>
  <si>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</si>
  <si>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</si>
  <si>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</si>
  <si>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</si>
  <si>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</si>
  <si>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</si>
  <si>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</si>
  <si>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</si>
  <si>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</si>
  <si>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</si>
  <si>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</si>
  <si>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</si>
  <si>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</si>
  <si>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</si>
  <si>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</si>
  <si>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</si>
  <si>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</si>
  <si>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</si>
  <si>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</si>
  <si>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</si>
  <si>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</si>
  <si>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</si>
  <si>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</si>
  <si>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</si>
  <si>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</si>
  <si>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</si>
  <si>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</si>
  <si>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</si>
  <si>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</si>
  <si>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</si>
  <si>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</si>
  <si>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</si>
  <si>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</si>
  <si>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</si>
  <si>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</si>
  <si>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</si>
  <si>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</si>
  <si>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</si>
  <si>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</si>
  <si>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</si>
  <si>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</si>
  <si>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</si>
  <si>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</si>
  <si>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</si>
  <si>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</si>
  <si>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</si>
  <si>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</si>
  <si>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</si>
  <si>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</si>
  <si>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</si>
  <si>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</si>
  <si>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</si>
  <si>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</si>
  <si>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</si>
  <si>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</si>
  <si>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</si>
  <si>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</si>
  <si>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</si>
  <si>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</si>
  <si>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</si>
  <si>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</si>
  <si>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</si>
  <si>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</si>
  <si>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</si>
  <si>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</si>
  <si>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</si>
  <si>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</si>
  <si>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</si>
  <si>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</si>
  <si>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</si>
  <si>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</si>
  <si>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</si>
  <si>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</si>
  <si>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</si>
  <si>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</si>
  <si>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</si>
  <si>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</si>
  <si>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</si>
  <si>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</si>
  <si>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</si>
  <si>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</si>
  <si>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</si>
  <si>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</si>
  <si>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</si>
  <si>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</si>
  <si>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</si>
  <si>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</si>
  <si>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</si>
  <si>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</si>
  <si>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</si>
  <si>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</si>
  <si>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</si>
  <si>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</si>
  <si>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</si>
  <si>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</si>
  <si>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</si>
  <si>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</si>
  <si>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</si>
  <si>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</si>
  <si>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</si>
  <si>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</si>
  <si>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</si>
  <si>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</si>
  <si>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</si>
  <si>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</si>
  <si>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</si>
  <si>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</si>
  <si>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</si>
  <si>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</si>
  <si>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</si>
  <si>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</si>
  <si>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</si>
  <si>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</si>
  <si>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</si>
  <si>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</si>
  <si>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</si>
  <si>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</si>
  <si>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</si>
  <si>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</si>
  <si>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</si>
  <si>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</si>
  <si>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</si>
  <si>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</si>
  <si>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</si>
  <si>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</si>
  <si>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</si>
  <si>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</si>
  <si>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</si>
  <si>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</si>
  <si>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</si>
  <si>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</si>
  <si>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</si>
  <si>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</si>
  <si>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</si>
  <si>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</si>
  <si>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</si>
  <si>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</si>
  <si>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</si>
  <si>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</si>
  <si>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</si>
  <si>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</si>
  <si>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</si>
  <si>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</si>
  <si>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</si>
  <si>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</si>
  <si>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</si>
  <si>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</si>
  <si>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</si>
  <si>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</si>
  <si>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</si>
  <si>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</si>
  <si>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</si>
  <si>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</si>
  <si>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</si>
  <si>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</si>
  <si>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</si>
  <si>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</si>
  <si>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</si>
  <si>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</si>
  <si>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</si>
  <si>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</si>
  <si>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</si>
  <si>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</si>
  <si>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</si>
  <si>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</si>
  <si>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</si>
  <si>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</si>
  <si>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</si>
  <si>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</si>
  <si>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</si>
  <si>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</si>
  <si>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</si>
  <si>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</si>
  <si>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</si>
  <si>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</si>
  <si>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</si>
  <si>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</si>
  <si>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</si>
  <si>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</si>
  <si>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</si>
  <si>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</si>
  <si>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</si>
  <si>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</si>
  <si>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</si>
  <si>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</si>
  <si>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</si>
  <si>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</si>
  <si>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</si>
  <si>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</si>
  <si>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</si>
  <si>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</si>
  <si>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</si>
  <si>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</si>
  <si>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</si>
  <si>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</si>
  <si>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</si>
  <si>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</si>
  <si>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</si>
  <si>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</si>
  <si>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</si>
  <si>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</si>
  <si>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</si>
  <si>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</si>
  <si>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</si>
  <si>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</si>
  <si>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</si>
  <si>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</si>
  <si>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</si>
  <si>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</si>
  <si>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</si>
  <si>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</si>
  <si>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</si>
  <si>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</si>
  <si>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</si>
  <si>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</si>
  <si>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</si>
  <si>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</si>
  <si>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</si>
  <si>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</si>
  <si>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</si>
  <si>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</si>
  <si>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</si>
  <si>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</si>
  <si>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</si>
  <si>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</si>
  <si>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</si>
  <si>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</si>
  <si>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</si>
  <si>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</si>
  <si>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</si>
  <si>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</si>
  <si>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</si>
  <si>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</si>
  <si>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</si>
  <si>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</si>
  <si>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</si>
  <si>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</si>
  <si>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</si>
  <si>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</si>
  <si>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</si>
  <si>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</si>
  <si>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</si>
  <si>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</si>
  <si>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</si>
  <si>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</si>
  <si>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</si>
  <si>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</si>
  <si>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</si>
  <si>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</si>
  <si>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</si>
  <si>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</si>
  <si>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</si>
  <si>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</si>
  <si>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</si>
  <si>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</si>
  <si>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</si>
  <si>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</si>
  <si>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</si>
  <si>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</si>
  <si>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</si>
  <si>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</si>
  <si>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</si>
  <si>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</si>
  <si>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</si>
  <si>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</si>
  <si>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</si>
  <si>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</si>
  <si>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</si>
  <si>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</si>
  <si>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</si>
  <si>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</si>
  <si>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</si>
  <si>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</si>
  <si>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</si>
  <si>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</si>
  <si>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</si>
  <si>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</si>
  <si>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</si>
  <si>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</si>
  <si>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</si>
  <si>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</si>
  <si>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</si>
  <si>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</si>
  <si>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</si>
  <si>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</si>
  <si>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</si>
  <si>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</si>
  <si>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</si>
  <si>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</si>
  <si>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</si>
  <si>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</si>
  <si>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</si>
  <si>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</si>
  <si>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</si>
  <si>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</si>
  <si>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</si>
  <si>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</si>
  <si>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</si>
  <si>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</si>
  <si>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</si>
  <si>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</si>
  <si>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</si>
  <si>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</si>
  <si>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</si>
  <si>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</si>
  <si>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</si>
  <si>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</si>
  <si>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</si>
  <si>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</si>
  <si>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</si>
  <si>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</si>
  <si>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</si>
  <si>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</si>
  <si>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</si>
  <si>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</si>
  <si>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</si>
  <si>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</si>
  <si>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</si>
  <si>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</si>
  <si>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</si>
  <si>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</si>
  <si>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</si>
  <si>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</si>
  <si>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</si>
  <si>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</si>
  <si>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</si>
  <si>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</si>
  <si>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</si>
  <si>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</si>
  <si>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</si>
  <si>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</si>
  <si>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</si>
  <si>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</si>
  <si>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</si>
  <si>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</si>
  <si>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</si>
  <si>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</si>
  <si>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</si>
  <si>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</si>
  <si>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</si>
  <si>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</si>
  <si>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</si>
  <si>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</si>
  <si>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</si>
  <si>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</si>
  <si>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</si>
  <si>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</si>
  <si>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</si>
  <si>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</si>
  <si>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</si>
  <si>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</si>
  <si>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</si>
  <si>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</si>
  <si>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</si>
  <si>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</si>
  <si>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</si>
  <si>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</si>
  <si>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</si>
  <si>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</si>
  <si>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</si>
  <si>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</si>
  <si>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</si>
  <si>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</si>
  <si>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</si>
  <si>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</si>
  <si>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</si>
  <si>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</si>
  <si>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</si>
  <si>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</si>
  <si>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</si>
  <si>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</si>
  <si>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</si>
  <si>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</si>
  <si>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</si>
  <si>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</si>
  <si>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</si>
  <si>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</si>
  <si>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</si>
  <si>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</si>
  <si>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</si>
  <si>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</si>
  <si>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</si>
  <si>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</si>
  <si>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</si>
  <si>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</si>
  <si>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</si>
  <si>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</si>
  <si>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</si>
  <si>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</si>
  <si>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</si>
  <si>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</si>
  <si>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</si>
  <si>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</si>
  <si>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</si>
  <si>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</si>
  <si>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</si>
  <si>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</si>
  <si>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</si>
  <si>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</si>
  <si>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</si>
  <si>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</si>
  <si>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</si>
  <si>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</si>
  <si>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</si>
  <si>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</si>
  <si>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</si>
  <si>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</si>
  <si>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</si>
  <si>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</si>
  <si>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</si>
  <si>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</si>
  <si>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</si>
  <si>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</si>
  <si>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</si>
  <si>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</si>
  <si>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</si>
  <si>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</si>
  <si>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</si>
  <si>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</si>
  <si>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</si>
  <si>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</si>
  <si>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</si>
  <si>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</si>
  <si>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</si>
  <si>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</si>
  <si>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</si>
  <si>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</si>
  <si>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</si>
  <si>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</si>
  <si>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</si>
  <si>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</si>
  <si>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</si>
  <si>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</si>
  <si>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</si>
  <si>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</si>
  <si>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</si>
  <si>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</si>
  <si>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</si>
  <si>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</si>
  <si>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</si>
  <si>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</si>
  <si>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</si>
  <si>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</si>
  <si>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</si>
  <si>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</si>
  <si>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</si>
  <si>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</si>
  <si>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</si>
  <si>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</si>
  <si>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</si>
  <si>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</si>
  <si>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</si>
  <si>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</si>
  <si>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</si>
  <si>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</si>
  <si>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</si>
  <si>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</si>
  <si>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</si>
  <si>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</si>
  <si>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</si>
  <si>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</si>
  <si>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</si>
  <si>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</si>
  <si>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</si>
  <si>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</si>
  <si>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</si>
  <si>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</si>
  <si>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</si>
  <si>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</si>
  <si>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</si>
  <si>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</si>
  <si>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</si>
  <si>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</si>
  <si>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</si>
  <si>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</si>
  <si>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</si>
  <si>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</si>
  <si>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</si>
  <si>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</si>
  <si>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</si>
  <si>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</si>
  <si>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</si>
  <si>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</si>
  <si>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</si>
  <si>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</si>
  <si>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</si>
  <si>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</si>
  <si>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</si>
  <si>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</si>
  <si>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</si>
  <si>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</si>
  <si>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</si>
  <si>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</si>
  <si>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</si>
  <si>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</si>
  <si>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</si>
  <si>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</si>
  <si>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</si>
  <si>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</si>
  <si>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</si>
  <si>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</si>
  <si>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</si>
  <si>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</si>
  <si>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</si>
  <si>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</si>
  <si>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</si>
  <si>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</si>
  <si>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</si>
  <si>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</si>
  <si>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</si>
  <si>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</si>
  <si>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</si>
  <si>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</si>
  <si>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</si>
  <si>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</si>
  <si>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</si>
  <si>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</si>
  <si>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</si>
  <si>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</si>
  <si>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</si>
  <si>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</si>
  <si>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</si>
  <si>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</si>
  <si>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</si>
  <si>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</si>
  <si>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</si>
  <si>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</si>
  <si>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</si>
  <si>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</si>
  <si>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</si>
  <si>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</si>
  <si>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</si>
  <si>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</si>
  <si>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</si>
  <si>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</si>
  <si>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</si>
  <si>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</si>
  <si>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</si>
  <si>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</si>
  <si>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</si>
  <si>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</si>
  <si>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</si>
  <si>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</si>
  <si>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</si>
  <si>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</si>
  <si>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</si>
  <si>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</si>
  <si>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</si>
  <si>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</si>
  <si>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</si>
  <si>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</si>
  <si>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</si>
  <si>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</si>
  <si>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</si>
  <si>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</si>
  <si>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</si>
  <si>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</si>
  <si>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</si>
  <si>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</si>
  <si>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</si>
  <si>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</si>
  <si>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</si>
  <si>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</si>
  <si>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</si>
  <si>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</si>
  <si>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</si>
  <si>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</si>
  <si>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</si>
  <si>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</si>
  <si>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</si>
  <si>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</si>
  <si>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</si>
  <si>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</si>
  <si>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</si>
  <si>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</si>
  <si>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</si>
  <si>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</si>
  <si>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</si>
  <si>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</si>
  <si>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</si>
  <si>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</si>
  <si>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</si>
  <si>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</si>
  <si>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</si>
  <si>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</si>
  <si>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</si>
  <si>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</si>
  <si>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</si>
  <si>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</si>
  <si>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</si>
  <si>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</si>
  <si>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</si>
  <si>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</si>
  <si>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</si>
  <si>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</si>
  <si>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</si>
  <si>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</si>
  <si>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</si>
  <si>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</si>
  <si>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</si>
  <si>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</si>
  <si>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</si>
  <si>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</si>
  <si>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</si>
  <si>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</si>
  <si>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</si>
  <si>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</si>
  <si>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</si>
  <si>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</si>
  <si>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</si>
  <si>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</si>
  <si>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</si>
  <si>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</si>
  <si>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</si>
  <si>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</si>
  <si>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</si>
  <si>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</si>
  <si>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</si>
  <si>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</si>
  <si>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</si>
  <si>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</si>
  <si>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</si>
  <si>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</si>
  <si>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</si>
  <si>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</si>
  <si>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</si>
  <si>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</si>
  <si>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</si>
  <si>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</si>
  <si>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</si>
  <si>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</si>
  <si>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</si>
  <si>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</si>
  <si>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</si>
  <si>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</si>
  <si>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</si>
  <si>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</si>
  <si>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</si>
  <si>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</si>
  <si>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</si>
  <si>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</si>
  <si>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</si>
  <si>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</si>
  <si>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</si>
  <si>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</si>
  <si>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</si>
  <si>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</si>
  <si>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</si>
  <si>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</si>
  <si>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</si>
  <si>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</si>
  <si>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</si>
  <si>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</si>
  <si>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</si>
  <si>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</si>
  <si>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</si>
  <si>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</si>
  <si>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</si>
  <si>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</si>
  <si>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</si>
  <si>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</si>
  <si>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</si>
  <si>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</si>
  <si>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</si>
  <si>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</si>
  <si>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</si>
  <si>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</si>
  <si>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</si>
  <si>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</si>
  <si>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</si>
  <si>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</si>
  <si>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</si>
  <si>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</si>
  <si>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</si>
  <si>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</si>
  <si>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</si>
  <si>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</si>
  <si>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</si>
  <si>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</si>
  <si>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</si>
  <si>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</si>
  <si>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</si>
  <si>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</si>
  <si>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</si>
  <si>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</si>
  <si>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</si>
  <si>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</si>
  <si>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</si>
  <si>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</si>
  <si>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</si>
  <si>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</si>
  <si>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</si>
  <si>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</si>
  <si>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</si>
  <si>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</si>
  <si>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</si>
  <si>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</si>
  <si>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</si>
  <si>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</si>
  <si>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</si>
  <si>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</si>
  <si>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</si>
  <si>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</si>
  <si>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</si>
  <si>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</si>
  <si>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</si>
  <si>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</si>
  <si>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</si>
  <si>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</si>
  <si>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</si>
  <si>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</si>
  <si>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</si>
  <si>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</si>
  <si>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</si>
  <si>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</si>
  <si>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</si>
  <si>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</si>
  <si>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</si>
  <si>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</si>
  <si>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</si>
  <si>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</si>
  <si>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</si>
  <si>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</si>
  <si>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</si>
  <si>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</si>
  <si>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</si>
  <si>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</si>
  <si>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</si>
  <si>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</si>
  <si>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</si>
  <si>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</si>
  <si>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</si>
  <si>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</si>
  <si>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</si>
  <si>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</si>
  <si>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</si>
  <si>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</si>
  <si>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</si>
  <si>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</si>
  <si>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</si>
  <si>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</si>
  <si>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</si>
  <si>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</si>
  <si>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</si>
  <si>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</si>
  <si>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</si>
  <si>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</si>
  <si>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</si>
  <si>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</si>
  <si>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</si>
  <si>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</si>
  <si>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</si>
  <si>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</si>
  <si>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</si>
  <si>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</si>
  <si>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</si>
  <si>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</si>
  <si>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</si>
  <si>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</si>
  <si>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</si>
  <si>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</si>
  <si>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</si>
  <si>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</si>
  <si>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</si>
  <si>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</si>
  <si>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</si>
  <si>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</si>
  <si>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</si>
  <si>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</si>
  <si>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</si>
  <si>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</si>
  <si>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</si>
  <si>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</si>
  <si>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</si>
  <si>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</si>
  <si>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</si>
  <si>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</si>
  <si>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</si>
  <si>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</si>
  <si>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</si>
  <si>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</si>
  <si>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</si>
  <si>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</si>
  <si>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</si>
  <si>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</si>
  <si>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</si>
  <si>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</si>
  <si>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</si>
  <si>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</si>
  <si>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</si>
  <si>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</si>
  <si>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</si>
  <si>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</si>
  <si>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</si>
  <si>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</si>
  <si>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</si>
  <si>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</si>
  <si>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</si>
  <si>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</si>
  <si>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</si>
  <si>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</si>
  <si>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</si>
  <si>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</si>
  <si>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</si>
  <si>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</si>
  <si>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</si>
  <si>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</si>
  <si>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</si>
  <si>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</si>
  <si>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</si>
  <si>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</si>
  <si>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</si>
  <si>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</si>
  <si>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</si>
  <si>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</si>
  <si>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</si>
  <si>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</si>
  <si>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</si>
  <si>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</si>
  <si>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</si>
  <si>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</si>
  <si>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</si>
  <si>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</si>
  <si>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</si>
  <si>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</si>
  <si>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</si>
  <si>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</si>
  <si>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</si>
  <si>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</si>
  <si>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</si>
  <si>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</si>
  <si>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</si>
  <si>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</si>
  <si>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</si>
  <si>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</si>
  <si>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</si>
  <si>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</si>
  <si>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</si>
  <si>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</si>
  <si>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</si>
  <si>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</si>
  <si>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</si>
  <si>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</si>
  <si>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</si>
  <si>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</si>
  <si>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</si>
  <si>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</si>
  <si>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</si>
  <si>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</si>
  <si>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</si>
  <si>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</si>
  <si>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</si>
  <si>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</si>
  <si>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</si>
  <si>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</si>
  <si>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</si>
  <si>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</si>
  <si>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</si>
  <si>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</si>
  <si>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</si>
  <si>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</si>
  <si>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</si>
  <si>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</si>
  <si>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</si>
  <si>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</si>
  <si>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</si>
  <si>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</si>
  <si>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</si>
  <si>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</si>
  <si>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</si>
  <si>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</si>
  <si>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</si>
  <si>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</si>
  <si>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</si>
  <si>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</si>
  <si>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</si>
  <si>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</si>
  <si>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</si>
  <si>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</si>
  <si>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</si>
  <si>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</si>
  <si>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</si>
  <si>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</si>
  <si>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</si>
  <si>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</si>
  <si>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</si>
  <si>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</si>
  <si>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</si>
  <si>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</si>
  <si>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</si>
  <si>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</si>
  <si>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</si>
  <si>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</si>
  <si>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</si>
  <si>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</si>
  <si>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</si>
  <si>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</si>
  <si>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</si>
  <si>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</si>
  <si>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</si>
  <si>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</si>
  <si>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</si>
  <si>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</si>
  <si>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</si>
  <si>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</si>
  <si>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</si>
  <si>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</si>
  <si>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</si>
  <si>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</si>
  <si>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</si>
  <si>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</si>
  <si>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</si>
  <si>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</si>
  <si>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</si>
  <si>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</si>
  <si>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</si>
  <si>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</si>
  <si>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</si>
  <si>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</si>
  <si>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</si>
  <si>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</si>
  <si>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</si>
  <si>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</si>
  <si>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</si>
  <si>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</si>
  <si>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</si>
  <si>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</si>
  <si>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</si>
  <si>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</si>
  <si>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</si>
  <si>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</si>
  <si>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</si>
  <si>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</si>
  <si>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</si>
  <si>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</si>
  <si>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</si>
  <si>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</si>
  <si>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</si>
  <si>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</si>
  <si>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</si>
  <si>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</si>
  <si>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</si>
  <si>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</si>
  <si>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</si>
  <si>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</si>
  <si>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</si>
  <si>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</si>
  <si>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</si>
  <si>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</si>
  <si>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</si>
  <si>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</si>
  <si>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</si>
  <si>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</si>
  <si>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</si>
  <si>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</si>
  <si>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</si>
  <si>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</si>
  <si>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</si>
  <si>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</si>
  <si>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</si>
  <si>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</si>
  <si>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</si>
  <si>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</si>
  <si>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</si>
  <si>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</si>
  <si>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</si>
  <si>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</si>
  <si>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</si>
  <si>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</si>
  <si>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</si>
  <si>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</si>
  <si>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</si>
  <si>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</si>
  <si>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</si>
  <si>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</si>
  <si>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</si>
  <si>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</si>
  <si>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</si>
  <si>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</si>
  <si>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</si>
  <si>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</si>
  <si>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</si>
  <si>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</si>
  <si>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</si>
  <si>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</si>
  <si>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</si>
  <si>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</si>
  <si>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</si>
  <si>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</si>
  <si>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</si>
  <si>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</si>
  <si>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</si>
  <si>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</si>
  <si>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</si>
  <si>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</si>
  <si>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</si>
  <si>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</si>
  <si>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</si>
  <si>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</si>
  <si>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</si>
  <si>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</si>
  <si>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</si>
  <si>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</si>
  <si>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</si>
  <si>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</si>
  <si>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</si>
  <si>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</si>
  <si>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</si>
  <si>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</si>
  <si>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</si>
  <si>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</si>
  <si>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</si>
  <si>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</si>
  <si>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</si>
  <si>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</si>
  <si>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</si>
  <si>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</si>
  <si>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</si>
  <si>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</si>
  <si>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</si>
  <si>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</si>
  <si>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</si>
  <si>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</si>
  <si>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</si>
  <si>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</si>
  <si>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</si>
  <si>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</si>
  <si>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</si>
  <si>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</si>
  <si>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</si>
  <si>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</si>
  <si>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</si>
  <si>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</si>
  <si>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</si>
  <si>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</si>
  <si>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</si>
  <si>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</si>
  <si>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</si>
  <si>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</si>
  <si>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</si>
  <si>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</si>
  <si>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</si>
  <si>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</si>
  <si>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</si>
  <si>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</si>
  <si>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</si>
  <si>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</si>
  <si>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</si>
  <si>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</si>
  <si>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</si>
  <si>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</si>
  <si>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</si>
  <si>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</si>
  <si>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</si>
  <si>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</si>
  <si>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</si>
  <si>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</si>
  <si>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</si>
  <si>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</si>
  <si>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</si>
  <si>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</si>
  <si>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</si>
  <si>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</si>
  <si>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</si>
  <si>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</si>
  <si>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</si>
  <si>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</si>
  <si>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</si>
  <si>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</si>
  <si>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</si>
  <si>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</si>
  <si>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</si>
  <si>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</si>
  <si>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</si>
  <si>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</si>
  <si>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</si>
  <si>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</si>
  <si>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</si>
  <si>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</si>
  <si>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</si>
  <si>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</si>
  <si>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</si>
  <si>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</si>
  <si>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</si>
  <si>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</si>
  <si>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</si>
  <si>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</si>
  <si>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</si>
  <si>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</si>
  <si>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</si>
  <si>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</si>
  <si>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</si>
  <si>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</si>
  <si>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</si>
  <si>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</si>
  <si>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</si>
  <si>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</si>
  <si>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</si>
  <si>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</si>
  <si>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</si>
  <si>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</si>
  <si>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</si>
  <si>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</si>
  <si>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</si>
  <si>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</si>
  <si>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</si>
  <si>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</si>
  <si>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</si>
  <si>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</si>
  <si>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</si>
  <si>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</si>
  <si>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</si>
  <si>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</si>
  <si>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</si>
  <si>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</si>
  <si>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</si>
  <si>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</si>
  <si>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</si>
  <si>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</si>
  <si>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</si>
  <si>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</si>
  <si>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</si>
  <si>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</si>
  <si>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</si>
  <si>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</si>
  <si>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</si>
  <si>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</si>
  <si>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</si>
  <si>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</si>
  <si>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</si>
  <si>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</si>
  <si>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</si>
  <si>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</si>
  <si>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</si>
  <si>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</si>
  <si>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</si>
  <si>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</si>
  <si>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</si>
  <si>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</si>
  <si>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</si>
  <si>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</si>
  <si>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</si>
  <si>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</si>
  <si>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</si>
  <si>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</si>
  <si>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</si>
  <si>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</si>
  <si>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</si>
  <si>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</si>
  <si>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</si>
  <si>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</si>
  <si>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</si>
  <si>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</si>
  <si>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</si>
  <si>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</si>
  <si>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</si>
  <si>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</si>
  <si>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</si>
  <si>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</si>
  <si>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</si>
  <si>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</si>
  <si>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</si>
  <si>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</si>
  <si>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</si>
  <si>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</si>
  <si>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</si>
  <si>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</si>
  <si>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</si>
  <si>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</si>
  <si>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</si>
  <si>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</si>
  <si>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</si>
  <si>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</si>
  <si>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</si>
  <si>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</si>
  <si>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</si>
  <si>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</si>
  <si>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</si>
  <si>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</si>
  <si>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</si>
  <si>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</si>
  <si>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</si>
  <si>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</si>
  <si>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</si>
  <si>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</si>
  <si>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</si>
  <si>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</si>
  <si>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</si>
  <si>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</si>
  <si>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</si>
  <si>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</si>
  <si>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</si>
  <si>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</si>
  <si>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</si>
  <si>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</si>
  <si>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</si>
  <si>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</si>
  <si>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</si>
  <si>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</si>
  <si>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</si>
  <si>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</si>
  <si>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</si>
  <si>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</si>
  <si>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</si>
  <si>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</si>
  <si>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</si>
  <si>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</si>
  <si>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</si>
  <si>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</si>
  <si>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</si>
  <si>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</si>
  <si>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</si>
  <si>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</si>
  <si>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</si>
  <si>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</si>
  <si>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</si>
  <si>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</si>
  <si>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</si>
  <si>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</si>
  <si>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</si>
  <si>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</si>
  <si>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</si>
  <si>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</si>
  <si>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</si>
  <si>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</si>
  <si>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</si>
  <si>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</si>
  <si>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</si>
  <si>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</si>
  <si>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</si>
  <si>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</si>
  <si>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</si>
  <si>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</si>
  <si>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</si>
  <si>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</si>
  <si>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</si>
  <si>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</si>
  <si>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</si>
  <si>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</si>
  <si>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</si>
  <si>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</si>
  <si>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</si>
  <si>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</si>
  <si>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</si>
  <si>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</si>
  <si>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</si>
  <si>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</si>
  <si>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</si>
  <si>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</si>
  <si>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</si>
  <si>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</si>
  <si>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</si>
  <si>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</si>
  <si>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</si>
  <si>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</si>
  <si>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</si>
  <si>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</si>
  <si>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</si>
  <si>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</si>
  <si>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</si>
  <si>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</si>
  <si>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</si>
  <si>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</si>
  <si>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</si>
  <si>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</si>
  <si>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</si>
  <si>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</si>
  <si>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</si>
  <si>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</si>
  <si>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</si>
  <si>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</si>
  <si>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</si>
  <si>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</si>
  <si>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</si>
  <si>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</si>
  <si>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</si>
  <si>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</si>
  <si>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</si>
  <si>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</si>
  <si>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</si>
  <si>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</si>
  <si>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</si>
  <si>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</si>
  <si>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</si>
  <si>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</si>
  <si>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</si>
  <si>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</si>
  <si>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</si>
  <si>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</si>
  <si>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</si>
  <si>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</si>
  <si>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</si>
  <si>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</si>
  <si>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</si>
  <si>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</si>
  <si>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</si>
  <si>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</si>
  <si>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</si>
  <si>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</si>
  <si>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</si>
  <si>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</si>
  <si>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</si>
  <si>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</si>
  <si>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</si>
  <si>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</si>
  <si>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</si>
  <si>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</si>
  <si>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</si>
  <si>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</si>
  <si>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</si>
  <si>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</si>
  <si>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</si>
  <si>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</si>
  <si>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</si>
  <si>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</si>
  <si>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</si>
  <si>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</si>
  <si>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</si>
  <si>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</si>
  <si>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</si>
  <si>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</si>
  <si>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</si>
  <si>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</si>
  <si>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</si>
  <si>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</si>
  <si>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</si>
  <si>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</si>
  <si>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</si>
  <si>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</si>
  <si>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</si>
  <si>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</si>
  <si>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</si>
  <si>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</si>
  <si>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</si>
  <si>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</si>
  <si>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</si>
  <si>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</si>
  <si>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</si>
  <si>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</si>
  <si>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</si>
  <si>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</si>
  <si>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</si>
  <si>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</si>
  <si>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</si>
  <si>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</si>
  <si>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</si>
  <si>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</si>
  <si>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</si>
  <si>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</si>
  <si>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</si>
  <si>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</si>
  <si>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</si>
  <si>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</si>
  <si>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</si>
  <si>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</si>
  <si>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</si>
  <si>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</si>
  <si>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</si>
  <si>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</si>
  <si>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</si>
  <si>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</si>
  <si>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</si>
  <si>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</si>
  <si>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</si>
  <si>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</si>
  <si>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</si>
  <si>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</si>
  <si>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</si>
  <si>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</si>
  <si>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</si>
  <si>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</si>
  <si>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</si>
  <si>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</si>
  <si>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</si>
  <si>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</si>
  <si>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</si>
  <si>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</si>
  <si>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</si>
  <si>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</si>
  <si>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</si>
  <si>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</si>
  <si>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</si>
  <si>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</si>
  <si>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</si>
  <si>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</si>
  <si>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</si>
  <si>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</si>
  <si>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</si>
  <si>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</si>
  <si>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</si>
  <si>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</si>
  <si>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</si>
  <si>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</si>
  <si>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</si>
  <si>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</si>
  <si>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</si>
  <si>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</si>
  <si>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</si>
  <si>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</si>
  <si>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</si>
  <si>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</si>
  <si>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</si>
  <si>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</si>
  <si>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</si>
  <si>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</si>
  <si>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</si>
  <si>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</si>
  <si>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</si>
  <si>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</si>
  <si>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</si>
  <si>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</si>
  <si>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</si>
  <si>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</si>
  <si>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</si>
  <si>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</si>
  <si>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</si>
  <si>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</si>
  <si>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</si>
  <si>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</si>
  <si>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</si>
  <si>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</si>
  <si>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</si>
  <si>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</si>
  <si>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</si>
  <si>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</si>
  <si>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</si>
  <si>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</si>
  <si>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</si>
  <si>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</si>
  <si>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</si>
  <si>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</si>
  <si>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</si>
  <si>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</si>
  <si>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</si>
  <si>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</si>
  <si>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</si>
  <si>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</si>
  <si>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</si>
  <si>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</si>
  <si>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</si>
  <si>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</si>
  <si>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</si>
  <si>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</si>
  <si>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</si>
  <si>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</si>
  <si>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</si>
  <si>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</si>
  <si>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</si>
  <si>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</si>
  <si>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</si>
  <si>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</si>
  <si>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</si>
  <si>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</si>
  <si>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</si>
  <si>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</si>
  <si>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</si>
  <si>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</si>
  <si>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</si>
  <si>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</si>
  <si>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</si>
  <si>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</si>
  <si>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</si>
  <si>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</si>
  <si>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</si>
  <si>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</si>
  <si>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</si>
  <si>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</si>
  <si>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</si>
  <si>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</si>
  <si>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</si>
  <si>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</si>
  <si>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</si>
  <si>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</si>
  <si>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</si>
  <si>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</si>
  <si>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</si>
  <si>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</si>
  <si>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</si>
  <si>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</si>
  <si>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</si>
  <si>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</si>
  <si>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</si>
  <si>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</si>
  <si>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</si>
  <si>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</si>
  <si>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</si>
  <si>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</si>
  <si>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</si>
  <si>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</si>
  <si>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</si>
  <si>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</si>
  <si>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</si>
  <si>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</si>
  <si>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</si>
  <si>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</si>
  <si>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</si>
  <si>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</si>
  <si>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</si>
  <si>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</si>
  <si>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</si>
  <si>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</si>
  <si>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</si>
  <si>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</si>
  <si>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</si>
  <si>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</si>
  <si>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</si>
  <si>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</si>
  <si>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</si>
  <si>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</si>
  <si>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</si>
  <si>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</si>
  <si>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</si>
  <si>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</si>
  <si>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</si>
  <si>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</si>
  <si>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</si>
  <si>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</si>
  <si>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</si>
  <si>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</si>
  <si>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</si>
  <si>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</si>
  <si>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</si>
  <si>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</si>
  <si>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</si>
  <si>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</si>
  <si>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</si>
  <si>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</si>
  <si>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</si>
  <si>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</si>
  <si>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</si>
  <si>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</si>
  <si>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</si>
  <si>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</si>
  <si>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</si>
  <si>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</si>
  <si>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</si>
  <si>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</si>
  <si>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</si>
  <si>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</si>
  <si>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</si>
  <si>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</si>
  <si>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</si>
  <si>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</si>
  <si>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</si>
  <si>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</si>
  <si>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</si>
  <si>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</si>
  <si>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</si>
  <si>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</si>
  <si>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</si>
  <si>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</si>
  <si>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</si>
  <si>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</si>
  <si>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</si>
  <si>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</si>
  <si>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</si>
  <si>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</si>
  <si>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</si>
  <si>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</si>
  <si>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</si>
  <si>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</si>
  <si>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</si>
  <si>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</si>
  <si>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</si>
  <si>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</si>
  <si>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</si>
  <si>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</si>
  <si>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</si>
  <si>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</si>
  <si>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</si>
  <si>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</si>
  <si>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</si>
  <si>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</si>
  <si>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</si>
  <si>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</si>
  <si>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</si>
  <si>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</si>
  <si>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</si>
  <si>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</si>
  <si>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</si>
  <si>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</si>
  <si>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</si>
  <si>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</si>
  <si>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</si>
  <si>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</si>
  <si>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</si>
  <si>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</si>
  <si>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</si>
  <si>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</si>
  <si>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</si>
  <si>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</si>
  <si>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</si>
  <si>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</si>
  <si>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</si>
  <si>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</si>
  <si>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</si>
  <si>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</si>
  <si>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</si>
  <si>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</si>
  <si>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</si>
  <si>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</si>
  <si>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</si>
  <si>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</si>
  <si>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</si>
  <si>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</si>
  <si>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</si>
  <si>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</si>
  <si>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</si>
  <si>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</si>
  <si>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</si>
  <si>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</si>
  <si>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</si>
  <si>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</si>
  <si>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</si>
  <si>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</si>
  <si>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</si>
  <si>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</si>
  <si>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</si>
  <si>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</si>
  <si>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</si>
  <si>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</si>
  <si>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</si>
  <si>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</si>
  <si>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</si>
  <si>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</si>
  <si>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</si>
  <si>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</si>
  <si>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</si>
  <si>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</si>
  <si>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</si>
  <si>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</si>
  <si>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</si>
  <si>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</si>
  <si>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</si>
  <si>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</si>
  <si>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</si>
  <si>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</si>
  <si>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</si>
  <si>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</si>
  <si>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</si>
  <si>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</si>
  <si>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</si>
  <si>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</si>
  <si>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</si>
  <si>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</si>
  <si>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</si>
  <si>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</si>
  <si>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</si>
  <si>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</si>
  <si>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</si>
  <si>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</si>
  <si>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</si>
  <si>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</si>
  <si>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</si>
  <si>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</si>
  <si>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</si>
  <si>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</si>
  <si>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</si>
  <si>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</si>
  <si>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</si>
  <si>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</si>
  <si>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</si>
  <si>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</si>
  <si>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</si>
  <si>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</si>
  <si>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</si>
  <si>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</si>
  <si>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</si>
  <si>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</si>
  <si>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</si>
  <si>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</si>
  <si>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</si>
  <si>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</si>
  <si>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</si>
  <si>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</si>
  <si>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</si>
  <si>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</si>
  <si>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</si>
  <si>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</si>
  <si>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</si>
  <si>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</si>
  <si>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</si>
  <si>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</si>
  <si>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</si>
  <si>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</si>
  <si>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</si>
  <si>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</si>
  <si>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</si>
  <si>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</si>
  <si>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</si>
  <si>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</si>
  <si>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</si>
  <si>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</si>
  <si>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</si>
  <si>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</si>
  <si>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</si>
  <si>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</si>
  <si>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</si>
  <si>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</si>
  <si>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</si>
  <si>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</si>
  <si>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</si>
  <si>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</si>
  <si>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</si>
  <si>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</si>
  <si>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</si>
  <si>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</si>
  <si>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</si>
  <si>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</si>
  <si>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</si>
  <si>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</si>
  <si>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</si>
  <si>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</si>
  <si>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</si>
  <si>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</si>
  <si>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</si>
  <si>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</si>
  <si>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</si>
  <si>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</si>
  <si>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</si>
  <si>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</si>
  <si>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</si>
  <si>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</si>
  <si>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</si>
  <si>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</si>
  <si>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</si>
  <si>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</si>
  <si>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</si>
  <si>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</si>
  <si>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</si>
  <si>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</si>
  <si>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</si>
  <si>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</si>
  <si>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</si>
  <si>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</si>
  <si>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</si>
  <si>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</si>
  <si>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</si>
  <si>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</si>
  <si>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</si>
  <si>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</si>
  <si>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</si>
  <si>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</si>
  <si>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</si>
  <si>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</si>
  <si>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</si>
  <si>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</si>
  <si>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</si>
  <si>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</si>
  <si>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</si>
  <si>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</si>
  <si>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</si>
  <si>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</si>
  <si>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</si>
  <si>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</si>
  <si>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</si>
  <si>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</si>
  <si>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</si>
  <si>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</si>
  <si>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</si>
  <si>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</si>
  <si>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</si>
  <si>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</si>
  <si>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</si>
  <si>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</si>
  <si>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</si>
  <si>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</si>
  <si>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</si>
  <si>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</si>
  <si>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</si>
  <si>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</si>
  <si>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</si>
  <si>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</si>
  <si>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</si>
  <si>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</si>
  <si>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</si>
  <si>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</si>
  <si>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</si>
  <si>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</si>
  <si>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</si>
  <si>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</si>
  <si>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</si>
  <si>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</si>
  <si>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</si>
  <si>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</si>
  <si>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</si>
  <si>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</si>
  <si>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</si>
  <si>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</si>
  <si>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</si>
  <si>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</si>
  <si>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</si>
  <si>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</si>
  <si>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</si>
  <si>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</si>
  <si>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</si>
  <si>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</si>
  <si>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</si>
  <si>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</si>
  <si>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</si>
  <si>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</si>
  <si>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</si>
  <si>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</si>
  <si>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</si>
  <si>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</si>
  <si>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</si>
  <si>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</si>
  <si>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</si>
  <si>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</si>
  <si>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</si>
  <si>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</si>
  <si>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</si>
  <si>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</si>
  <si>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</si>
  <si>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</si>
  <si>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</si>
  <si>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</si>
  <si>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</si>
  <si>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</si>
  <si>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</si>
  <si>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</si>
  <si>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</si>
  <si>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</si>
  <si>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</si>
  <si>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</si>
  <si>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</si>
  <si>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</si>
  <si>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</si>
  <si>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</si>
  <si>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</si>
  <si>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</si>
  <si>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</si>
  <si>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</si>
  <si>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</si>
  <si>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</si>
  <si>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</si>
  <si>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</si>
  <si>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</si>
  <si>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</si>
  <si>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</si>
  <si>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</si>
  <si>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</si>
  <si>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</si>
  <si>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</si>
  <si>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</si>
  <si>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</si>
  <si>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</si>
  <si>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</si>
  <si>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</si>
  <si>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</si>
  <si>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</si>
  <si>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</si>
  <si>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</si>
  <si>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</si>
  <si>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</si>
  <si>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</si>
  <si>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</si>
  <si>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</si>
  <si>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</si>
  <si>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</si>
  <si>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</si>
  <si>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</si>
  <si>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</si>
  <si>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</si>
  <si>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</si>
  <si>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</si>
  <si>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</si>
  <si>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</si>
  <si>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</si>
  <si>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</si>
  <si>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</si>
  <si>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</si>
  <si>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</si>
  <si>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</si>
  <si>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</si>
  <si>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</si>
  <si>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</si>
  <si>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</si>
  <si>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</si>
  <si>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</si>
  <si>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</si>
  <si>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</si>
  <si>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</si>
  <si>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</si>
  <si>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</si>
  <si>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</si>
  <si>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</si>
  <si>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</si>
  <si>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</si>
  <si>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</si>
  <si>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</si>
  <si>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</si>
  <si>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</si>
  <si>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</si>
  <si>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</si>
  <si>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</si>
  <si>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</si>
  <si>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</si>
  <si>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</si>
  <si>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</si>
  <si>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</si>
  <si>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</si>
  <si>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</si>
  <si>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</si>
  <si>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</si>
  <si>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</si>
  <si>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</si>
  <si>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</si>
  <si>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</si>
  <si>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</si>
  <si>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</si>
  <si>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</si>
  <si>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</si>
  <si>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</si>
  <si>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</si>
  <si>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</si>
  <si>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</si>
  <si>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</si>
  <si>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</si>
  <si>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</si>
  <si>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</si>
  <si>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</si>
  <si>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</si>
  <si>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</si>
  <si>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</si>
  <si>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</si>
  <si>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</si>
  <si>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</si>
  <si>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</si>
  <si>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</si>
  <si>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</si>
  <si>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</si>
  <si>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</si>
  <si>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</si>
  <si>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</si>
  <si>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</si>
  <si>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</si>
  <si>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</si>
  <si>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</si>
  <si>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</si>
  <si>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</si>
  <si>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</si>
  <si>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</si>
  <si>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</si>
  <si>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</si>
  <si>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</si>
  <si>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</si>
  <si>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</si>
  <si>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</si>
  <si>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</si>
  <si>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</si>
  <si>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</si>
  <si>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</si>
  <si>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</si>
  <si>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</si>
  <si>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</si>
  <si>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</si>
  <si>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</si>
  <si>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</si>
  <si>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</si>
  <si>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</si>
  <si>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</si>
  <si>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</si>
  <si>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</si>
  <si>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</si>
  <si>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</si>
  <si>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</si>
  <si>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</si>
  <si>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</si>
  <si>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</si>
  <si>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</si>
  <si>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</si>
  <si>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</si>
  <si>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</si>
  <si>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</si>
  <si>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</si>
  <si>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</si>
  <si>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</si>
  <si>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</si>
  <si>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</si>
  <si>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</si>
  <si>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</si>
  <si>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</si>
  <si>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</si>
  <si>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</si>
  <si>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</si>
  <si>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</si>
  <si>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</si>
  <si>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</si>
  <si>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</si>
  <si>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</si>
  <si>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</si>
  <si>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</si>
  <si>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</si>
  <si>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</si>
  <si>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</si>
  <si>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</si>
  <si>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</si>
  <si>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</si>
  <si>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</si>
  <si>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</si>
  <si>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</si>
  <si>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</si>
  <si>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</si>
  <si>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</si>
  <si>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</si>
  <si>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</si>
  <si>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</si>
  <si>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</si>
  <si>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</si>
  <si>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</si>
  <si>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</si>
  <si>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</si>
  <si>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</si>
  <si>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</si>
  <si>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</si>
  <si>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</si>
  <si>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</si>
  <si>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</si>
  <si>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</si>
  <si>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</si>
  <si>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</si>
  <si>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</si>
  <si>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</si>
  <si>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</si>
  <si>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</si>
  <si>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</si>
  <si>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</si>
  <si>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</si>
  <si>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</si>
  <si>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</si>
  <si>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</si>
  <si>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</si>
  <si>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</si>
  <si>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</si>
  <si>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</si>
  <si>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</si>
  <si>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</si>
  <si>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</si>
  <si>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</si>
  <si>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</si>
  <si>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</si>
  <si>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</si>
  <si>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</si>
  <si>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</si>
  <si>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</si>
  <si>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</si>
  <si>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</si>
  <si>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</si>
  <si>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</si>
  <si>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</si>
  <si>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</si>
  <si>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</si>
  <si>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</si>
  <si>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</si>
  <si>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</si>
  <si>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</si>
  <si>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</si>
  <si>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</si>
  <si>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</si>
  <si>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</si>
  <si>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</si>
  <si>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</si>
  <si>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</si>
  <si>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</si>
  <si>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</si>
  <si>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</si>
  <si>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</si>
  <si>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</si>
  <si>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</si>
  <si>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</si>
  <si>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</si>
  <si>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</si>
  <si>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</si>
  <si>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</si>
  <si>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</si>
  <si>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</si>
  <si>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</si>
  <si>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</si>
  <si>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</si>
  <si>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</si>
  <si>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</si>
  <si>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</si>
  <si>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</si>
  <si>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</si>
  <si>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</si>
  <si>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</si>
  <si>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</si>
  <si>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</si>
  <si>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</si>
  <si>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</si>
  <si>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</si>
  <si>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</si>
  <si>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</si>
  <si>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</si>
  <si>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</si>
  <si>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</si>
  <si>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</si>
  <si>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</si>
  <si>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</si>
  <si>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</si>
  <si>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</si>
  <si>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</si>
  <si>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</si>
  <si>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</si>
  <si>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</si>
  <si>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</si>
  <si>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</si>
  <si>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</si>
  <si>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</si>
  <si>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</si>
  <si>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</si>
  <si>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</si>
  <si>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</si>
  <si>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</si>
  <si>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</si>
  <si>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</si>
  <si>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</si>
  <si>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</si>
  <si>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</si>
  <si>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</si>
  <si>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</si>
  <si>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</si>
  <si>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</si>
  <si>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</si>
  <si>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</si>
  <si>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</si>
  <si>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</si>
  <si>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</si>
  <si>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</si>
  <si>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</si>
  <si>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</si>
  <si>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</si>
  <si>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</si>
  <si>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</si>
  <si>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</si>
  <si>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</si>
  <si>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</si>
  <si>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</si>
  <si>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</si>
  <si>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</si>
  <si>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</si>
  <si>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</si>
  <si>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</si>
  <si>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</si>
  <si>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</si>
  <si>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</si>
  <si>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</si>
  <si>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</si>
  <si>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</si>
  <si>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</si>
  <si>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</si>
  <si>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</si>
  <si>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</si>
  <si>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</si>
  <si>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</si>
  <si>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</si>
  <si>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</si>
  <si>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</si>
  <si>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</si>
  <si>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</si>
  <si>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</si>
  <si>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</si>
  <si>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</si>
  <si>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</si>
  <si>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</si>
  <si>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</si>
  <si>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</si>
  <si>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</si>
  <si>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</si>
  <si>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</si>
  <si>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</si>
  <si>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</si>
  <si>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</si>
  <si>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</si>
  <si>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</si>
  <si>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</si>
  <si>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</si>
  <si>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</si>
  <si>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</si>
  <si>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</si>
  <si>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</si>
  <si>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</si>
  <si>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</si>
  <si>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</si>
  <si>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</si>
  <si>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</si>
  <si>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</si>
  <si>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</si>
  <si>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</si>
  <si>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</si>
  <si>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</si>
  <si>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</si>
  <si>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</si>
  <si>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</si>
  <si>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</si>
  <si>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</si>
  <si>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</si>
  <si>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</si>
  <si>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</si>
  <si>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</si>
  <si>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</si>
  <si>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</si>
  <si>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</si>
  <si>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</si>
  <si>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</si>
  <si>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</si>
  <si>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</si>
  <si>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</si>
  <si>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</si>
  <si>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</si>
  <si>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</si>
  <si>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</si>
  <si>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</si>
  <si>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</si>
  <si>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</si>
  <si>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</si>
  <si>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</si>
  <si>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</si>
  <si>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</si>
  <si>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</si>
  <si>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</si>
  <si>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</si>
  <si>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</si>
  <si>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</si>
  <si>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</si>
  <si>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</si>
  <si>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</si>
  <si>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</si>
  <si>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</si>
  <si>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</si>
  <si>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</si>
  <si>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</si>
  <si>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</si>
  <si>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</si>
  <si>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</si>
  <si>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</si>
  <si>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</si>
  <si>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</si>
  <si>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</si>
  <si>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</si>
  <si>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</si>
  <si>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</si>
  <si>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</si>
  <si>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</si>
  <si>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</si>
  <si>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</si>
  <si>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</si>
  <si>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</si>
  <si>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</si>
  <si>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</si>
  <si>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</si>
  <si>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</si>
  <si>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</si>
  <si>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</si>
  <si>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</si>
  <si>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</si>
  <si>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</si>
  <si>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</si>
  <si>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</si>
  <si>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</si>
  <si>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</si>
  <si>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</si>
  <si>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</si>
  <si>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</si>
  <si>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</si>
  <si>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</si>
  <si>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</si>
  <si>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</si>
  <si>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</si>
  <si>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</si>
  <si>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</si>
  <si>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</si>
  <si>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</si>
  <si>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</si>
  <si>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</si>
  <si>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</si>
  <si>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</si>
  <si>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</si>
  <si>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</si>
  <si>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</si>
  <si>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</si>
  <si>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</si>
  <si>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</si>
  <si>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</si>
  <si>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</si>
  <si>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</si>
  <si>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</si>
  <si>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</si>
  <si>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</si>
  <si>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</si>
  <si>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</si>
  <si>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</si>
  <si>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</si>
  <si>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</si>
  <si>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</si>
  <si>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</si>
  <si>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</si>
  <si>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</si>
  <si>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</si>
  <si>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</si>
  <si>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</si>
  <si>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</si>
  <si>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</si>
  <si>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</si>
  <si>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</si>
  <si>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</si>
  <si>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</si>
  <si>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</si>
  <si>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</si>
  <si>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</si>
  <si>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</si>
  <si>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</si>
  <si>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</si>
  <si>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</si>
  <si>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</si>
  <si>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</si>
  <si>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</si>
  <si>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</si>
  <si>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</si>
  <si>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</si>
  <si>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</si>
  <si>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</si>
  <si>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</si>
  <si>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</si>
  <si>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</si>
  <si>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</si>
  <si>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</si>
  <si>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</si>
  <si>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</si>
  <si>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</si>
  <si>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</si>
  <si>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</si>
  <si>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</si>
  <si>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</si>
  <si>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</si>
  <si>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</si>
  <si>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</si>
  <si>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</si>
  <si>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</si>
  <si>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</si>
  <si>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</si>
  <si>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</si>
  <si>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</si>
  <si>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</si>
  <si>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</si>
  <si>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</si>
  <si>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</si>
  <si>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</si>
  <si>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</si>
  <si>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</si>
  <si>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</si>
  <si>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</si>
  <si>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</si>
  <si>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</si>
  <si>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</si>
  <si>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</si>
  <si>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</si>
  <si>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</si>
  <si>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</si>
  <si>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</si>
  <si>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</si>
  <si>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</si>
  <si>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</si>
  <si>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</si>
  <si>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</si>
  <si>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</si>
  <si>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</si>
  <si>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</si>
  <si>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</si>
  <si>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</si>
  <si>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</si>
  <si>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</si>
  <si>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</si>
  <si>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</si>
  <si>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</si>
  <si>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</si>
  <si>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</si>
  <si>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</si>
  <si>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</si>
  <si>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</si>
  <si>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</si>
  <si>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</si>
  <si>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</si>
  <si>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</si>
  <si>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</si>
  <si>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</si>
  <si>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</si>
  <si>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</si>
  <si>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</si>
  <si>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</si>
  <si>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</si>
  <si>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</si>
  <si>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</si>
  <si>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</si>
  <si>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</si>
  <si>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</si>
  <si>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</si>
  <si>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</si>
  <si>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</si>
  <si>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</si>
  <si>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</si>
  <si>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</si>
  <si>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</si>
  <si>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</si>
  <si>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</si>
  <si>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</si>
  <si>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</si>
  <si>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</si>
  <si>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</si>
  <si>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</si>
  <si>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</si>
  <si>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</si>
  <si>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</si>
  <si>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</si>
  <si>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</si>
  <si>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</si>
  <si>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</si>
  <si>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</si>
  <si>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</si>
  <si>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</si>
  <si>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</si>
  <si>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</si>
  <si>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</si>
  <si>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</si>
  <si>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</si>
  <si>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</si>
  <si>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</si>
  <si>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</si>
  <si>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</si>
  <si>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</si>
  <si>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</si>
  <si>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</si>
  <si>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</si>
  <si>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</si>
  <si>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</si>
  <si>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</si>
  <si>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</si>
  <si>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</si>
  <si>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</si>
  <si>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</si>
  <si>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</si>
  <si>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</si>
  <si>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</si>
  <si>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</si>
  <si>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</si>
  <si>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</si>
  <si>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</si>
  <si>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</si>
  <si>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</si>
  <si>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</si>
  <si>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</si>
  <si>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</si>
  <si>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</si>
  <si>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</si>
  <si>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</si>
  <si>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</si>
  <si>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</si>
  <si>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</si>
  <si>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</si>
  <si>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</si>
  <si>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</si>
  <si>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</si>
  <si>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</si>
  <si>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</si>
  <si>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</si>
  <si>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</si>
  <si>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</si>
  <si>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</si>
  <si>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</si>
  <si>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</si>
  <si>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</si>
  <si>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</si>
  <si>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</si>
  <si>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</si>
  <si>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</si>
  <si>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</si>
  <si>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</si>
  <si>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</si>
  <si>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</si>
  <si>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</si>
  <si>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</si>
  <si>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</si>
  <si>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</si>
  <si>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</si>
  <si>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</si>
  <si>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</si>
  <si>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</si>
  <si>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</si>
  <si>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</si>
  <si>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</si>
  <si>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</si>
  <si>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</si>
  <si>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</si>
  <si>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</si>
  <si>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</si>
  <si>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</si>
  <si>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</si>
  <si>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</si>
  <si>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</si>
  <si>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</si>
  <si>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</si>
  <si>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</si>
  <si>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</si>
  <si>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</si>
  <si>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</si>
  <si>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</si>
  <si>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</si>
  <si>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</si>
  <si>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</si>
  <si>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</si>
  <si>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</si>
  <si>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</si>
  <si>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</si>
  <si>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</si>
  <si>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</si>
  <si>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</si>
  <si>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</si>
  <si>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</si>
  <si>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</si>
  <si>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</si>
  <si>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</si>
  <si>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</si>
  <si>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</si>
  <si>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</si>
  <si>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</si>
  <si>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</si>
  <si>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</si>
  <si>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</si>
  <si>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</si>
  <si>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</si>
  <si>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</si>
  <si>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</si>
  <si>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</si>
  <si>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</si>
  <si>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</si>
  <si>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</si>
  <si>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</si>
  <si>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</si>
  <si>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</si>
  <si>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</si>
  <si>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</si>
  <si>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</si>
  <si>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</si>
  <si>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</si>
  <si>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</si>
  <si>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</si>
  <si>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</si>
  <si>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</si>
  <si>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</si>
  <si>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</si>
  <si>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</si>
  <si>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</si>
  <si>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</si>
  <si>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</si>
  <si>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</si>
  <si>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</si>
  <si>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</si>
  <si>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</si>
  <si>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</si>
  <si>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</si>
  <si>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</si>
  <si>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</si>
  <si>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</si>
  <si>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</si>
  <si>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</si>
  <si>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</si>
  <si>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</si>
  <si>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</si>
  <si>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</si>
  <si>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</si>
  <si>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</si>
  <si>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</si>
  <si>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</si>
  <si>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</si>
  <si>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</si>
  <si>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</si>
  <si>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</si>
  <si>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</si>
  <si>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</si>
  <si>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</si>
  <si>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</si>
  <si>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</si>
  <si>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</si>
  <si>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</si>
  <si>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</si>
  <si>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</si>
  <si>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</si>
  <si>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</si>
  <si>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</si>
  <si>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</si>
  <si>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</si>
  <si>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</si>
  <si>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</si>
  <si>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</si>
  <si>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</si>
  <si>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</si>
  <si>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</si>
  <si>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</si>
  <si>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</si>
  <si>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</si>
  <si>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</si>
  <si>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</si>
  <si>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</si>
  <si>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</si>
  <si>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</si>
  <si>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</si>
  <si>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</si>
  <si>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</si>
  <si>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</si>
  <si>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</si>
  <si>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</si>
  <si>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</si>
  <si>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</si>
  <si>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</si>
  <si>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</si>
  <si>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</si>
  <si>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</si>
  <si>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</si>
  <si>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</si>
  <si>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</si>
  <si>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</si>
  <si>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</si>
  <si>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</si>
  <si>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</si>
  <si>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</si>
  <si>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</si>
  <si>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</si>
  <si>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</si>
  <si>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</si>
  <si>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</si>
  <si>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</si>
  <si>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</si>
  <si>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</si>
  <si>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</si>
  <si>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</si>
  <si>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</si>
  <si>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</si>
  <si>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</si>
  <si>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</si>
  <si>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</si>
  <si>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</si>
  <si>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</si>
  <si>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</si>
  <si>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</si>
  <si>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</si>
  <si>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</si>
  <si>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</si>
  <si>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</si>
  <si>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</si>
  <si>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</si>
  <si>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</si>
  <si>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</si>
  <si>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</si>
  <si>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</si>
  <si>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</si>
  <si>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</si>
  <si>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</si>
  <si>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</si>
  <si>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</si>
  <si>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</si>
  <si>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</si>
  <si>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</si>
  <si>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</si>
  <si>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</si>
  <si>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</si>
  <si>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</si>
  <si>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</si>
  <si>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</si>
  <si>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</si>
  <si>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</si>
  <si>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</si>
  <si>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</si>
  <si>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</si>
  <si>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</si>
  <si>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</si>
  <si>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</si>
  <si>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</si>
  <si>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</si>
  <si>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</si>
  <si>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</si>
  <si>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</si>
  <si>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</si>
  <si>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</si>
  <si>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</si>
  <si>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</si>
  <si>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</si>
  <si>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</si>
  <si>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</si>
  <si>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</si>
  <si>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</si>
  <si>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</si>
  <si>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</si>
  <si>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</si>
  <si>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</si>
  <si>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</si>
  <si>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</si>
  <si>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</si>
  <si>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</si>
  <si>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</si>
  <si>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</si>
  <si>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</si>
  <si>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</si>
  <si>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</si>
  <si>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</si>
  <si>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</si>
  <si>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</si>
  <si>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</si>
  <si>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</si>
  <si>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</si>
  <si>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</si>
  <si>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</si>
  <si>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</si>
  <si>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</si>
  <si>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</si>
  <si>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</si>
  <si>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</si>
  <si>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</si>
  <si>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</si>
  <si>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</si>
  <si>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</si>
  <si>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</si>
  <si>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</si>
  <si>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</si>
  <si>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</si>
  <si>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</si>
  <si>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</si>
  <si>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</si>
  <si>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</si>
  <si>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</si>
  <si>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</si>
  <si>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</si>
  <si>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</si>
  <si>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</si>
  <si>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</si>
  <si>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</si>
  <si>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</si>
  <si>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</si>
  <si>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</si>
  <si>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</si>
  <si>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</si>
  <si>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</si>
  <si>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</si>
  <si>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</si>
  <si>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</si>
  <si>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</si>
  <si>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</si>
  <si>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</si>
  <si>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</si>
  <si>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</si>
  <si>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</si>
  <si>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</si>
  <si>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</si>
  <si>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</si>
  <si>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</si>
  <si>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</si>
  <si>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</si>
  <si>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</si>
  <si>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</si>
  <si>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</si>
  <si>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</si>
  <si>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</si>
  <si>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</si>
  <si>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</si>
  <si>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</si>
  <si>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</si>
  <si>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</si>
  <si>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</si>
  <si>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</si>
  <si>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</si>
  <si>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</si>
  <si>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</si>
  <si>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</si>
  <si>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</si>
  <si>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</si>
  <si>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</si>
  <si>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</si>
  <si>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</si>
  <si>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</si>
  <si>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</si>
  <si>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</si>
  <si>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</si>
  <si>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</si>
  <si>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</si>
  <si>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</si>
  <si>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</si>
  <si>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</si>
  <si>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</si>
  <si>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</si>
  <si>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</si>
  <si>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</si>
  <si>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</si>
  <si>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</si>
  <si>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</si>
  <si>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</si>
  <si>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</si>
  <si>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</si>
  <si>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</si>
  <si>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</si>
  <si>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</si>
  <si>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</si>
  <si>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</si>
  <si>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</si>
  <si>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</si>
  <si>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</si>
  <si>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</si>
  <si>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</si>
  <si>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</si>
  <si>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</si>
  <si>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</si>
  <si>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</si>
  <si>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</si>
  <si>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</si>
  <si>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</si>
  <si>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</si>
  <si>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</si>
  <si>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</si>
  <si>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</si>
  <si>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</si>
  <si>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</si>
  <si>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</si>
  <si>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</si>
  <si>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</si>
  <si>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</si>
  <si>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</si>
  <si>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</si>
  <si>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</si>
  <si>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</si>
  <si>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</si>
  <si>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</si>
  <si>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</si>
  <si>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</si>
  <si>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</si>
  <si>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</si>
  <si>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</si>
  <si>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</si>
  <si>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</si>
  <si>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</si>
  <si>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</si>
  <si>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</si>
  <si>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</si>
  <si>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</si>
  <si>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</si>
  <si>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</si>
  <si>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</si>
  <si>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</si>
  <si>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</si>
  <si>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</si>
  <si>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</si>
  <si>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</si>
  <si>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</si>
  <si>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</si>
  <si>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</si>
  <si>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</si>
  <si>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</si>
  <si>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</si>
  <si>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</si>
  <si>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</si>
  <si>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</si>
  <si>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</si>
  <si>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</si>
  <si>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</si>
  <si>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</si>
  <si>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</si>
  <si>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</si>
  <si>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</si>
  <si>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</si>
  <si>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</si>
  <si>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</si>
  <si>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</si>
  <si>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</si>
  <si>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</si>
  <si>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</si>
  <si>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</si>
  <si>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</si>
  <si>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</si>
  <si>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</si>
  <si>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</si>
  <si>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</si>
  <si>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</si>
  <si>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</si>
  <si>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</si>
  <si>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</si>
  <si>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</si>
  <si>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</si>
  <si>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</si>
  <si>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</si>
  <si>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</si>
  <si>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</si>
  <si>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</si>
  <si>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</si>
  <si>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</si>
  <si>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</si>
  <si>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</si>
  <si>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</si>
  <si>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</si>
  <si>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</si>
  <si>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</si>
  <si>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</si>
  <si>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</si>
  <si>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</si>
  <si>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</si>
  <si>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</si>
  <si>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</si>
  <si>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</si>
  <si>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</si>
  <si>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</si>
  <si>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</si>
  <si>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</si>
  <si>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</si>
  <si>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</si>
  <si>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</si>
  <si>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</si>
  <si>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</si>
  <si>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</si>
  <si>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</si>
  <si>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</si>
  <si>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</si>
  <si>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</si>
  <si>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</si>
  <si>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</si>
  <si>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</si>
  <si>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</si>
  <si>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</si>
  <si>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</si>
  <si>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</si>
  <si>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</si>
  <si>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</si>
  <si>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</si>
  <si>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</si>
  <si>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</si>
  <si>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</si>
  <si>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</si>
  <si>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</si>
  <si>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</si>
  <si>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</si>
  <si>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</si>
  <si>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</si>
  <si>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</si>
  <si>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</si>
  <si>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</si>
  <si>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</si>
  <si>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</si>
  <si>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</si>
  <si>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</si>
  <si>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</si>
  <si>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</si>
  <si>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</si>
  <si>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</si>
  <si>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</si>
  <si>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</si>
  <si>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</si>
  <si>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</si>
  <si>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</si>
  <si>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</si>
  <si>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</si>
  <si>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</si>
  <si>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</si>
  <si>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</si>
  <si>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</si>
  <si>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</si>
  <si>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</si>
  <si>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</si>
  <si>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</si>
  <si>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</si>
  <si>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</si>
  <si>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</si>
  <si>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</si>
  <si>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</si>
  <si>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</si>
  <si>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</si>
  <si>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</si>
  <si>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</si>
  <si>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</si>
  <si>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</si>
  <si>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</si>
  <si>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</si>
  <si>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</si>
  <si>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</si>
  <si>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</si>
  <si>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</si>
  <si>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</si>
  <si>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</si>
  <si>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</si>
  <si>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</si>
  <si>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</si>
  <si>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</si>
  <si>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</si>
  <si>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</si>
  <si>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</si>
  <si>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</si>
  <si>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</si>
  <si>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</si>
  <si>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</si>
  <si>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</si>
  <si>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</si>
  <si>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</si>
  <si>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</si>
  <si>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</si>
  <si>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</si>
  <si>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</si>
  <si>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</si>
  <si>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</si>
  <si>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</si>
  <si>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</si>
  <si>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</si>
  <si>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</si>
  <si>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</si>
  <si>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</si>
  <si>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</si>
  <si>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</si>
  <si>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</si>
  <si>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</si>
  <si>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</si>
  <si>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</si>
  <si>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</si>
  <si>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</si>
  <si>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</si>
  <si>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</si>
  <si>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</si>
  <si>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</si>
  <si>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</si>
  <si>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</si>
  <si>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</si>
  <si>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</si>
  <si>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</si>
  <si>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</si>
  <si>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</si>
  <si>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</si>
  <si>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</si>
  <si>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</si>
  <si>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</si>
  <si>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</si>
  <si>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</si>
  <si>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</si>
  <si>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</si>
  <si>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</si>
  <si>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</si>
  <si>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</si>
  <si>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</si>
  <si>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</si>
  <si>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</si>
  <si>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</si>
  <si>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</si>
  <si>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</si>
  <si>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</si>
  <si>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</si>
  <si>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</si>
  <si>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</si>
  <si>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</si>
  <si>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</si>
  <si>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</si>
  <si>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</si>
  <si>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</si>
  <si>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</si>
  <si>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</si>
  <si>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</si>
  <si>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</si>
  <si>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</si>
  <si>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</si>
  <si>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</si>
  <si>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</si>
  <si>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</si>
  <si>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</si>
  <si>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</si>
  <si>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</si>
  <si>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</si>
  <si>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</si>
  <si>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</si>
  <si>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</si>
  <si>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</si>
  <si>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</si>
  <si>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</si>
  <si>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</si>
  <si>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</si>
  <si>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</si>
  <si>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</si>
  <si>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</si>
  <si>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</si>
  <si>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</si>
  <si>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</si>
  <si>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</si>
  <si>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</si>
  <si>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</si>
  <si>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</si>
  <si>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</si>
  <si>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</si>
  <si>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</si>
  <si>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</si>
  <si>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</si>
  <si>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</si>
  <si>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</si>
  <si>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</si>
  <si>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</si>
  <si>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</si>
  <si>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</si>
  <si>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</si>
  <si>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</si>
  <si>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</si>
  <si>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</si>
  <si>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</si>
  <si>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</si>
  <si>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</si>
  <si>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</si>
  <si>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</si>
  <si>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</si>
  <si>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</si>
  <si>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</si>
  <si>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</si>
  <si>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</si>
  <si>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</si>
  <si>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</si>
  <si>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</si>
  <si>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</si>
  <si>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</si>
  <si>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</si>
  <si>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</si>
  <si>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</si>
  <si>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</si>
  <si>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</si>
  <si>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</si>
  <si>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</si>
  <si>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</si>
  <si>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</si>
  <si>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</si>
  <si>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</si>
  <si>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</si>
  <si>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</si>
  <si>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</si>
  <si>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</si>
  <si>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</si>
  <si>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</si>
  <si>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</si>
  <si>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</si>
  <si>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</si>
  <si>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</si>
  <si>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</si>
  <si>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</si>
  <si>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</si>
  <si>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</si>
  <si>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</si>
  <si>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</si>
  <si>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</si>
  <si>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</si>
  <si>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</si>
  <si>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</si>
  <si>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</si>
  <si>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</si>
  <si>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</si>
  <si>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</si>
  <si>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</si>
  <si>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</si>
  <si>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</si>
  <si>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</si>
  <si>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</si>
  <si>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</si>
  <si>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</si>
  <si>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</si>
  <si>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</si>
  <si>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</si>
  <si>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</si>
  <si>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</si>
  <si>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</si>
  <si>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</si>
  <si>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</si>
  <si>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</si>
  <si>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</si>
  <si>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</si>
  <si>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</si>
  <si>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</si>
  <si>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</si>
  <si>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</si>
  <si>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</si>
  <si>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</si>
  <si>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</si>
  <si>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</si>
  <si>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</si>
  <si>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</si>
  <si>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</si>
  <si>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</si>
  <si>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</si>
  <si>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</si>
  <si>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</si>
  <si>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</si>
  <si>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</si>
  <si>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</si>
  <si>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</si>
  <si>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</si>
  <si>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</si>
  <si>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</si>
  <si>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</si>
  <si>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</si>
  <si>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</si>
  <si>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</si>
  <si>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</si>
  <si>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</si>
  <si>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</si>
  <si>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</si>
  <si>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</si>
  <si>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</si>
  <si>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</si>
  <si>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</si>
  <si>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</si>
  <si>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</si>
  <si>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</si>
  <si>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</si>
  <si>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</si>
  <si>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</si>
  <si>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</si>
  <si>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</si>
  <si>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</si>
  <si>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</si>
  <si>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</si>
  <si>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</si>
  <si>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</si>
  <si>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</si>
  <si>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</si>
  <si>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</si>
  <si>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</si>
  <si>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</si>
  <si>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</si>
  <si>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</si>
  <si>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</si>
  <si>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</si>
  <si>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</si>
  <si>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</si>
  <si>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</si>
  <si>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</si>
  <si>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</si>
  <si>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</si>
  <si>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</si>
  <si>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</si>
  <si>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</si>
  <si>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</si>
  <si>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</si>
  <si>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</si>
  <si>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</si>
  <si>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</si>
  <si>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</si>
  <si>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</si>
  <si>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</si>
  <si>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</si>
  <si>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</si>
  <si>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</si>
  <si>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</si>
  <si>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</si>
  <si>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</si>
  <si>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</si>
  <si>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</si>
  <si>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</si>
  <si>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</si>
  <si>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</si>
  <si>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</si>
  <si>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</si>
  <si>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</si>
  <si>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</si>
  <si>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</si>
  <si>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</si>
  <si>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</si>
  <si>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</si>
  <si>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</si>
  <si>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</si>
  <si>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</si>
  <si>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</si>
  <si>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</si>
  <si>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</si>
  <si>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</si>
  <si>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</si>
  <si>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</si>
  <si>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</si>
  <si>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</si>
  <si>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</si>
  <si>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</si>
  <si>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</si>
  <si>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</si>
  <si>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</si>
  <si>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</si>
  <si>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</si>
  <si>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</si>
  <si>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</si>
  <si>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</si>
  <si>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</si>
  <si>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</si>
  <si>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</si>
  <si>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</si>
  <si>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</si>
  <si>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</si>
  <si>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</si>
  <si>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</si>
  <si>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</si>
  <si>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</si>
  <si>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</si>
  <si>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</si>
  <si>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</si>
  <si>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</si>
  <si>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</si>
  <si>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</si>
  <si>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</si>
  <si>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</si>
  <si>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</si>
  <si>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</si>
  <si>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</si>
  <si>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</si>
  <si>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</si>
  <si>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</si>
  <si>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</si>
  <si>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</si>
  <si>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</si>
  <si>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</si>
  <si>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</si>
  <si>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</si>
  <si>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</si>
  <si>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</si>
  <si>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</si>
  <si>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</si>
  <si>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</si>
  <si>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</si>
  <si>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</si>
  <si>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</si>
  <si>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</si>
  <si>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</si>
  <si>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</si>
  <si>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</si>
  <si>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</si>
  <si>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</si>
  <si>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</si>
  <si>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</si>
  <si>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</si>
  <si>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</si>
  <si>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</si>
  <si>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</si>
  <si>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</si>
  <si>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</si>
  <si>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</si>
  <si>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</si>
  <si>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</si>
  <si>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</si>
  <si>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</si>
  <si>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</si>
  <si>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</si>
  <si>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</si>
  <si>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</si>
  <si>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</si>
  <si>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</si>
  <si>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</si>
  <si>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</si>
  <si>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</si>
  <si>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</si>
  <si>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</si>
  <si>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</si>
  <si>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</si>
  <si>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</si>
  <si>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</si>
  <si>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</si>
  <si>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</si>
  <si>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</si>
  <si>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</si>
  <si>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</si>
  <si>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</si>
  <si>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</si>
  <si>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</si>
  <si>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</si>
  <si>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</si>
  <si>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</si>
  <si>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</si>
  <si>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</si>
  <si>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</si>
  <si>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</si>
  <si>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</si>
  <si>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</si>
  <si>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</si>
  <si>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</si>
  <si>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</si>
  <si>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</si>
  <si>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</si>
  <si>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</si>
  <si>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</si>
  <si>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</si>
  <si>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</si>
  <si>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</si>
  <si>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</si>
  <si>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</si>
  <si>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</si>
  <si>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</si>
  <si>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</si>
  <si>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</si>
  <si>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</si>
  <si>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</si>
  <si>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</si>
  <si>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</si>
  <si>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</si>
  <si>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</si>
  <si>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</si>
  <si>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</si>
  <si>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</si>
  <si>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</si>
  <si>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</si>
  <si>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</si>
  <si>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</si>
  <si>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</si>
  <si>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</si>
  <si>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</si>
  <si>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</si>
  <si>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</si>
  <si>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</si>
  <si>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</si>
  <si>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</si>
  <si>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</si>
  <si>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</si>
  <si>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</si>
  <si>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</si>
  <si>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</si>
  <si>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</si>
  <si>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</si>
  <si>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</si>
  <si>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</si>
  <si>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</si>
  <si>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</si>
  <si>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</si>
  <si>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</si>
  <si>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</si>
  <si>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</si>
  <si>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</si>
  <si>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</si>
  <si>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</si>
  <si>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</si>
  <si>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</si>
  <si>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</si>
  <si>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</si>
  <si>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</si>
  <si>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</si>
  <si>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</si>
  <si>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</si>
  <si>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</si>
  <si>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</si>
  <si>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</si>
  <si>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</si>
  <si>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</si>
  <si>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</si>
  <si>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</si>
  <si>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</si>
  <si>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</si>
  <si>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</si>
  <si>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</si>
  <si>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</si>
  <si>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</si>
  <si>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</si>
  <si>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</si>
  <si>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</si>
  <si>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</si>
  <si>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</si>
  <si>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</si>
  <si>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</si>
  <si>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</si>
  <si>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</si>
  <si>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</si>
  <si>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</si>
  <si>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</si>
  <si>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</si>
  <si>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</si>
  <si>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</si>
  <si>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</si>
  <si>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</si>
  <si>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</si>
  <si>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</si>
  <si>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</si>
  <si>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</si>
  <si>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</si>
  <si>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</si>
  <si>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</si>
  <si>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</si>
  <si>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</si>
  <si>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</si>
  <si>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</si>
  <si>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</si>
  <si>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</si>
  <si>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</si>
  <si>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</si>
  <si>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</si>
  <si>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</si>
  <si>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</si>
  <si>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</si>
  <si>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</si>
  <si>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</si>
  <si>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</si>
  <si>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</si>
  <si>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</si>
  <si>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</si>
  <si>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</si>
  <si>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</si>
  <si>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</si>
  <si>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</si>
  <si>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</si>
  <si>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</si>
  <si>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</si>
  <si>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</si>
  <si>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</si>
  <si>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</si>
  <si>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</si>
  <si>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</si>
  <si>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</si>
  <si>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</si>
  <si>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</si>
  <si>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</si>
  <si>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</si>
  <si>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</si>
  <si>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</si>
  <si>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</si>
  <si>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</si>
  <si>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</si>
  <si>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</si>
  <si>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</si>
  <si>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</si>
  <si>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</si>
  <si>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</si>
  <si>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</si>
  <si>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</si>
  <si>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</si>
  <si>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</si>
  <si>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</si>
  <si>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</si>
  <si>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</si>
  <si>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</si>
  <si>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</si>
  <si>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</si>
  <si>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</si>
  <si>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</si>
  <si>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</si>
  <si>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</si>
  <si>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</si>
  <si>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</si>
  <si>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</si>
  <si>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</si>
  <si>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</si>
  <si>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</si>
  <si>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</si>
  <si>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</si>
  <si>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</si>
  <si>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</si>
  <si>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</si>
  <si>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</si>
  <si>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</si>
  <si>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</si>
  <si>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</si>
  <si>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</si>
  <si>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</si>
  <si>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</si>
  <si>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</si>
  <si>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</si>
  <si>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</si>
  <si>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</si>
  <si>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</si>
  <si>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</si>
  <si>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</si>
  <si>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</si>
  <si>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</si>
  <si>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</si>
  <si>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</si>
  <si>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</si>
  <si>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</si>
  <si>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</si>
  <si>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</si>
  <si>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</si>
  <si>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</si>
  <si>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</si>
  <si>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</si>
  <si>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</si>
  <si>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</si>
  <si>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</si>
  <si>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</si>
  <si>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</si>
  <si>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</si>
  <si>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</si>
  <si>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</si>
  <si>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</si>
  <si>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</si>
  <si>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</si>
  <si>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</si>
  <si>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</si>
  <si>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</si>
  <si>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</si>
  <si>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</si>
  <si>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</si>
  <si>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</si>
  <si>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</si>
  <si>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</si>
  <si>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</si>
  <si>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</si>
  <si>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</si>
  <si>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</si>
  <si>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</si>
  <si>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</si>
  <si>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</si>
  <si>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</si>
  <si>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</si>
  <si>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</si>
  <si>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</si>
  <si>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</si>
  <si>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</si>
  <si>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</si>
  <si>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</si>
  <si>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</si>
  <si>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</si>
  <si>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</si>
  <si>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</si>
  <si>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</si>
  <si>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</si>
  <si>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</si>
  <si>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</si>
  <si>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</si>
  <si>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</si>
  <si>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</si>
  <si>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</si>
  <si>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</si>
  <si>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</si>
  <si>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</si>
  <si>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</si>
  <si>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</si>
  <si>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</si>
  <si>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</si>
  <si>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</si>
  <si>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</si>
  <si>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</si>
  <si>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</si>
  <si>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</si>
  <si>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</si>
  <si>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</si>
  <si>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</si>
  <si>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</si>
  <si>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</si>
  <si>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</si>
  <si>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</si>
  <si>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</si>
  <si>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</si>
  <si>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</si>
  <si>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</si>
  <si>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</si>
  <si>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</si>
  <si>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</si>
  <si>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</si>
  <si>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</si>
  <si>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</si>
  <si>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</si>
  <si>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</si>
  <si>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</si>
  <si>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</si>
  <si>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</si>
  <si>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</si>
  <si>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</si>
  <si>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</si>
  <si>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</si>
  <si>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</si>
  <si>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</si>
  <si>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</si>
  <si>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</si>
  <si>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</si>
  <si>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</si>
  <si>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</si>
  <si>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</si>
  <si>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</si>
  <si>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</si>
  <si>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</si>
  <si>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</si>
  <si>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</si>
  <si>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</si>
  <si>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</si>
  <si>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</si>
  <si>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</si>
  <si>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</si>
  <si>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</si>
  <si>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</si>
  <si>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</si>
  <si>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</si>
  <si>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</si>
  <si>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</si>
  <si>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</si>
  <si>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</si>
  <si>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</si>
  <si>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</si>
  <si>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</si>
  <si>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</si>
  <si>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</si>
  <si>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</si>
  <si>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</si>
  <si>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</si>
  <si>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</si>
  <si>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</si>
  <si>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</si>
  <si>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</si>
  <si>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</si>
  <si>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</si>
  <si>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</si>
  <si>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</si>
  <si>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</si>
  <si>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</si>
  <si>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</si>
  <si>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</si>
  <si>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</si>
  <si>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</si>
  <si>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</si>
  <si>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</si>
  <si>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</si>
  <si>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</si>
  <si>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</si>
  <si>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</si>
  <si>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</si>
  <si>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</si>
  <si>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</si>
  <si>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</si>
  <si>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</si>
  <si>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</si>
  <si>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</si>
  <si>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</si>
  <si>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</si>
  <si>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</si>
  <si>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</si>
  <si>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</si>
  <si>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</si>
  <si>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</si>
  <si>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</si>
  <si>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</si>
  <si>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</si>
  <si>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</si>
  <si>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</si>
  <si>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</si>
  <si>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</si>
  <si>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</si>
  <si>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</si>
  <si>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</si>
  <si>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</si>
  <si>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</si>
  <si>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</si>
  <si>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</si>
  <si>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</si>
  <si>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</si>
  <si>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</si>
  <si>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</si>
  <si>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</si>
  <si>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</si>
  <si>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</si>
  <si>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</si>
  <si>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</si>
  <si>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</si>
  <si>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</si>
  <si>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</si>
  <si>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</si>
  <si>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</si>
  <si>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</si>
  <si>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</si>
  <si>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</si>
  <si>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</si>
  <si>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</si>
  <si>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</si>
  <si>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</si>
  <si>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</si>
  <si>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</si>
  <si>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</si>
  <si>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</si>
  <si>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</si>
  <si>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</si>
  <si>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</si>
  <si>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</si>
  <si>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</si>
  <si>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</si>
  <si>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</si>
  <si>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</si>
  <si>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</si>
  <si>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</si>
  <si>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</si>
  <si>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</si>
  <si>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</si>
  <si>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</si>
  <si>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</si>
  <si>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</si>
  <si>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</si>
  <si>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</si>
  <si>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</si>
  <si>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</si>
  <si>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</si>
  <si>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</si>
  <si>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</si>
  <si>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</si>
  <si>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</si>
  <si>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</si>
  <si>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</si>
  <si>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</si>
  <si>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</si>
  <si>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</si>
  <si>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</si>
  <si>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</si>
  <si>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</si>
  <si>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</si>
  <si>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</si>
  <si>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</si>
  <si>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</si>
  <si>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</si>
  <si>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</si>
  <si>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</si>
  <si>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</si>
  <si>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</si>
  <si>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</si>
  <si>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</si>
  <si>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</si>
  <si>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</si>
  <si>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</si>
  <si>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</si>
  <si>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</si>
  <si>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</si>
  <si>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</si>
  <si>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</si>
  <si>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</si>
  <si>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</si>
  <si>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</si>
  <si>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</si>
  <si>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</si>
  <si>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</si>
  <si>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</si>
  <si>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</si>
  <si>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</si>
  <si>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</si>
  <si>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</si>
  <si>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</si>
  <si>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</si>
  <si>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</si>
  <si>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</si>
  <si>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</si>
  <si>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</si>
  <si>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</si>
  <si>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</si>
  <si>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</si>
  <si>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</si>
  <si>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</si>
  <si>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</si>
  <si>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</si>
  <si>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</si>
  <si>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</si>
  <si>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</si>
  <si>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</si>
  <si>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</si>
  <si>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</si>
  <si>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</si>
  <si>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</si>
  <si>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</si>
  <si>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</si>
  <si>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</si>
  <si>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</si>
  <si>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</si>
  <si>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</si>
  <si>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</si>
  <si>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</si>
  <si>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</si>
  <si>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</si>
  <si>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</si>
  <si>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</si>
  <si>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</si>
  <si>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</si>
  <si>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</si>
  <si>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</si>
  <si>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</si>
  <si>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</si>
  <si>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</si>
  <si>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</si>
  <si>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</si>
  <si>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</si>
  <si>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</si>
  <si>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</si>
  <si>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</si>
  <si>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</si>
  <si>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</si>
  <si>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</si>
  <si>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</si>
  <si>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</si>
  <si>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</si>
  <si>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</si>
  <si>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</si>
  <si>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</si>
  <si>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</si>
  <si>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</si>
  <si>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</si>
  <si>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</si>
  <si>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</si>
  <si>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</si>
  <si>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</si>
  <si>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</si>
  <si>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</si>
  <si>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</si>
  <si>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</si>
  <si>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</si>
  <si>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</si>
  <si>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</si>
  <si>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</si>
  <si>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</si>
  <si>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</si>
  <si>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</si>
  <si>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</si>
  <si>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</si>
  <si>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</si>
  <si>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</si>
  <si>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</si>
  <si>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</si>
  <si>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</si>
  <si>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</si>
  <si>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</si>
  <si>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</si>
  <si>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</si>
  <si>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</si>
  <si>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</si>
  <si>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</si>
  <si>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</si>
  <si>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</si>
  <si>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</si>
  <si>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</si>
  <si>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</si>
  <si>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</si>
  <si>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</si>
  <si>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</si>
  <si>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</si>
  <si>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</si>
  <si>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</si>
  <si>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</si>
  <si>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</si>
  <si>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</si>
  <si>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</si>
  <si>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</si>
  <si>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</si>
  <si>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</si>
  <si>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</si>
  <si>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</si>
  <si>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</si>
  <si>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</si>
  <si>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</si>
  <si>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</si>
  <si>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</si>
  <si>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</si>
  <si>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</si>
  <si>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</si>
  <si>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</si>
  <si>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</si>
  <si>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</si>
  <si>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</si>
  <si>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</si>
  <si>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</si>
  <si>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</si>
  <si>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</si>
  <si>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</si>
  <si>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</si>
  <si>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</si>
  <si>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</si>
  <si>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</si>
  <si>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</si>
  <si>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</si>
  <si>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</si>
  <si>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</si>
  <si>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</si>
  <si>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</si>
  <si>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</si>
  <si>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</si>
  <si>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</si>
  <si>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</si>
  <si>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</si>
  <si>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</si>
  <si>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</si>
  <si>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</si>
  <si>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</si>
  <si>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</si>
  <si>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</si>
  <si>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</si>
  <si>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</si>
  <si>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</si>
  <si>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</si>
  <si>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</si>
  <si>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</si>
  <si>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</si>
  <si>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</si>
  <si>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</si>
  <si>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</si>
  <si>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</si>
  <si>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</si>
  <si>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</si>
  <si>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</si>
  <si>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</si>
  <si>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</si>
  <si>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</si>
  <si>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</si>
  <si>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</si>
  <si>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</si>
  <si>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</si>
  <si>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</si>
  <si>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</si>
  <si>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</si>
  <si>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</si>
  <si>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</si>
  <si>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</si>
  <si>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</si>
  <si>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</si>
  <si>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</si>
  <si>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</si>
  <si>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</si>
  <si>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</si>
  <si>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</si>
  <si>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</si>
  <si>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</si>
  <si>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</si>
  <si>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</si>
  <si>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</si>
  <si>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</si>
  <si>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</si>
  <si>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</si>
  <si>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</si>
  <si>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</si>
  <si>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</si>
  <si>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</si>
  <si>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</si>
  <si>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</si>
  <si>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</si>
  <si>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</si>
  <si>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</si>
  <si>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</si>
  <si>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</si>
  <si>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</si>
  <si>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</si>
  <si>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</si>
  <si>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</si>
  <si>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</si>
  <si>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</si>
  <si>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</si>
  <si>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</si>
  <si>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</si>
  <si>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</si>
  <si>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</si>
  <si>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</si>
  <si>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</si>
  <si>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</si>
  <si>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</si>
  <si>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</si>
  <si>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</si>
  <si>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</si>
  <si>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</si>
  <si>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</si>
  <si>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</si>
  <si>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</si>
  <si>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</si>
  <si>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</si>
  <si>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</si>
  <si>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</si>
  <si>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</si>
  <si>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</si>
  <si>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</si>
  <si>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</si>
  <si>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</si>
  <si>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</si>
  <si>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</si>
  <si>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</si>
  <si>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</si>
  <si>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</si>
  <si>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</si>
  <si>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</si>
  <si>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</si>
  <si>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</si>
  <si>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</si>
  <si>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</si>
  <si>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</si>
  <si>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</si>
  <si>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</si>
  <si>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</si>
  <si>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</si>
  <si>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</si>
  <si>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</si>
  <si>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</si>
  <si>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</si>
  <si>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</si>
  <si>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</si>
  <si>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</si>
  <si>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</si>
  <si>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</si>
  <si>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</si>
  <si>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</si>
  <si>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</si>
  <si>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</si>
  <si>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</si>
  <si>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</si>
  <si>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</si>
  <si>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</si>
  <si>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</si>
  <si>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</si>
  <si>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</si>
  <si>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</si>
  <si>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</si>
  <si>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</si>
  <si>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</si>
  <si>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</si>
  <si>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</si>
  <si>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</si>
  <si>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</si>
  <si>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</si>
  <si>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</si>
  <si>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</si>
  <si>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</si>
  <si>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</si>
  <si>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</si>
  <si>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</si>
  <si>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</si>
  <si>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</si>
  <si>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</si>
  <si>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</si>
  <si>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</si>
  <si>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</si>
  <si>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</si>
  <si>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</si>
  <si>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</si>
  <si>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</si>
  <si>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</si>
  <si>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</si>
  <si>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</si>
  <si>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</si>
  <si>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</si>
  <si>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</si>
  <si>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</si>
  <si>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</si>
  <si>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</si>
  <si>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</si>
  <si>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</si>
  <si>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</si>
  <si>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</si>
  <si>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</si>
  <si>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</si>
  <si>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</si>
  <si>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</si>
  <si>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</si>
  <si>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</si>
  <si>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</si>
  <si>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</si>
  <si>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</si>
  <si>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</si>
  <si>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</si>
  <si>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</si>
  <si>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</si>
  <si>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</si>
  <si>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</si>
  <si>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</si>
  <si>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</si>
  <si>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</si>
  <si>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</si>
  <si>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</si>
  <si>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</si>
  <si>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</si>
  <si>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</si>
  <si>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</si>
  <si>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</si>
  <si>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</si>
  <si>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</si>
  <si>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</si>
  <si>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</si>
  <si>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</si>
  <si>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</si>
  <si>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</si>
  <si>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</si>
  <si>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</si>
  <si>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</si>
  <si>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</si>
  <si>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</si>
  <si>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</si>
  <si>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</si>
  <si>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</si>
  <si>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</si>
  <si>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</si>
  <si>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</si>
  <si>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</si>
  <si>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</si>
  <si>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</si>
  <si>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</si>
  <si>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</si>
  <si>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</si>
  <si>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</si>
  <si>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</si>
  <si>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</si>
  <si>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</si>
  <si>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</si>
  <si>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</si>
  <si>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</si>
  <si>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</si>
  <si>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</si>
  <si>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</si>
  <si>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</si>
  <si>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</si>
  <si>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</si>
  <si>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</si>
  <si>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</si>
  <si>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</si>
  <si>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</si>
  <si>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</si>
  <si>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</si>
  <si>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</si>
  <si>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</si>
  <si>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</si>
  <si>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</si>
  <si>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</si>
  <si>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</si>
  <si>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</si>
  <si>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</si>
  <si>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</si>
  <si>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</si>
  <si>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</si>
  <si>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</si>
  <si>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</si>
  <si>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</si>
  <si>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</si>
  <si>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</si>
  <si>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</si>
  <si>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</si>
  <si>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</si>
  <si>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</si>
  <si>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</si>
  <si>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</si>
  <si>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</si>
  <si>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</si>
  <si>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</si>
  <si>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</si>
  <si>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</si>
  <si>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</si>
  <si>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</si>
  <si>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</si>
  <si>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</si>
  <si>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</si>
  <si>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</si>
  <si>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</si>
  <si>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</si>
  <si>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</si>
  <si>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</si>
  <si>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</si>
  <si>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</si>
  <si>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</si>
  <si>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</si>
  <si>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</si>
  <si>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</si>
  <si>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</si>
  <si>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</si>
  <si>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</si>
  <si>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</si>
  <si>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</si>
  <si>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</si>
  <si>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</si>
  <si>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</si>
  <si>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</si>
  <si>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</si>
  <si>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</si>
  <si>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</si>
  <si>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</si>
  <si>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</si>
  <si>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</si>
  <si>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</si>
  <si>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</si>
  <si>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</si>
  <si>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</si>
  <si>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</si>
  <si>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</si>
  <si>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</si>
  <si>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</si>
  <si>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</si>
  <si>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</si>
  <si>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</si>
  <si>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</si>
  <si>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</si>
  <si>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</si>
  <si>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</si>
  <si>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</si>
  <si>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</si>
  <si>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</si>
  <si>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</si>
  <si>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</si>
  <si>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</si>
  <si>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</si>
  <si>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</si>
  <si>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</si>
  <si>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</si>
  <si>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</si>
  <si>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</si>
  <si>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</si>
  <si>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</si>
  <si>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</si>
  <si>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</si>
  <si>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</si>
  <si>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</si>
  <si>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</si>
  <si>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</si>
  <si>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</si>
  <si>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</si>
  <si>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</si>
  <si>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</si>
  <si>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</si>
  <si>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</si>
  <si>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</si>
  <si>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</si>
  <si>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</si>
  <si>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</si>
  <si>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</si>
  <si>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</si>
  <si>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</si>
  <si>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</si>
  <si>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</si>
  <si>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</si>
  <si>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</si>
  <si>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</si>
  <si>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</si>
  <si>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</si>
  <si>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</si>
  <si>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</si>
  <si>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</si>
  <si>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</si>
  <si>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</si>
  <si>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</si>
  <si>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</si>
  <si>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</si>
  <si>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</si>
  <si>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</si>
  <si>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</si>
  <si>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</si>
  <si>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</si>
  <si>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</si>
  <si>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</si>
  <si>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</si>
  <si>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</si>
  <si>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</si>
  <si>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</si>
  <si>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</si>
  <si>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</si>
  <si>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</si>
  <si>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</si>
  <si>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</si>
  <si>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</si>
  <si>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</si>
  <si>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</si>
  <si>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</si>
  <si>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</si>
  <si>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</si>
  <si>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</si>
  <si>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</si>
  <si>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</si>
  <si>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</si>
  <si>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</si>
  <si>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</si>
  <si>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</si>
  <si>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</si>
  <si>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</si>
  <si>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</si>
  <si>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</si>
  <si>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</si>
  <si>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</si>
  <si>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</si>
  <si>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</si>
  <si>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</si>
  <si>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</si>
  <si>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</si>
  <si>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</si>
  <si>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</si>
  <si>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</si>
  <si>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</si>
  <si>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</si>
  <si>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</si>
  <si>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</si>
  <si>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</si>
  <si>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</si>
  <si>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</si>
  <si>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</si>
  <si>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</si>
  <si>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</si>
  <si>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</si>
  <si>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</si>
  <si>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</si>
  <si>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</si>
  <si>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</si>
  <si>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</si>
  <si>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</si>
  <si>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</si>
  <si>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</si>
  <si>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</si>
  <si>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</si>
  <si>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</si>
  <si>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</si>
  <si>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</si>
  <si>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</si>
  <si>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</si>
  <si>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</si>
  <si>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</si>
  <si>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</si>
  <si>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</si>
  <si>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</si>
  <si>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</si>
  <si>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</si>
  <si>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</si>
  <si>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</si>
  <si>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</si>
  <si>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</si>
  <si>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</si>
  <si>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</si>
  <si>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</si>
  <si>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</si>
  <si>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</si>
  <si>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</si>
  <si>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</si>
  <si>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</si>
  <si>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</si>
  <si>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</si>
  <si>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</si>
  <si>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</si>
  <si>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</si>
  <si>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</si>
  <si>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</si>
  <si>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</si>
  <si>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</si>
  <si>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</si>
  <si>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</si>
  <si>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</si>
  <si>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</si>
  <si>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</si>
  <si>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</si>
  <si>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</si>
  <si>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</si>
  <si>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</si>
  <si>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</si>
  <si>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</si>
  <si>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</si>
  <si>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</si>
  <si>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</si>
  <si>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</si>
  <si>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</si>
  <si>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</si>
  <si>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</si>
  <si>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</si>
  <si>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</si>
  <si>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</si>
  <si>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</si>
  <si>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</si>
  <si>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</si>
  <si>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</si>
  <si>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</si>
  <si>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</si>
  <si>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</si>
  <si>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</si>
  <si>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</si>
  <si>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</si>
  <si>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</si>
  <si>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</si>
  <si>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</si>
  <si>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</si>
  <si>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</si>
  <si>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</si>
  <si>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</si>
  <si>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</si>
  <si>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</si>
  <si>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</si>
  <si>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</si>
  <si>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</si>
  <si>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</si>
  <si>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</si>
  <si>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</si>
  <si>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</si>
  <si>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</si>
  <si>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</si>
  <si>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</si>
  <si>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</si>
  <si>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</si>
  <si>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</si>
  <si>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</si>
  <si>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</si>
  <si>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</si>
  <si>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</si>
  <si>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</si>
  <si>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</si>
  <si>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</si>
  <si>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</si>
  <si>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</si>
  <si>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</si>
  <si>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</si>
  <si>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</si>
  <si>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</si>
  <si>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</si>
  <si>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</si>
  <si>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</si>
  <si>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</si>
  <si>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</si>
  <si>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</si>
  <si>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</si>
  <si>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</si>
  <si>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</si>
  <si>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</si>
  <si>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</si>
  <si>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</si>
  <si>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</si>
  <si>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</si>
  <si>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</si>
  <si>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</si>
  <si>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</si>
  <si>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</si>
  <si>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</si>
  <si>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</si>
  <si>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</si>
  <si>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</si>
  <si>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</si>
  <si>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</si>
  <si>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</si>
  <si>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</si>
  <si>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</si>
  <si>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</si>
  <si>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</si>
  <si>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</si>
  <si>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</si>
  <si>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</si>
  <si>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</si>
  <si>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</si>
  <si>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</si>
  <si>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</si>
  <si>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</si>
  <si>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</si>
  <si>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</si>
  <si>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</si>
  <si>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</si>
  <si>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</si>
  <si>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</si>
  <si>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</si>
  <si>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</si>
  <si>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</si>
  <si>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</si>
  <si>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</si>
  <si>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</si>
  <si>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</si>
  <si>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</si>
  <si>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</si>
  <si>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</si>
  <si>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</si>
  <si>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</si>
  <si>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</si>
  <si>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</si>
  <si>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</si>
  <si>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</si>
  <si>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</si>
  <si>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</si>
  <si>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</si>
  <si>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</si>
  <si>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</si>
  <si>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</si>
  <si>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</si>
  <si>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</si>
  <si>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</si>
  <si>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</si>
  <si>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</si>
  <si>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</si>
  <si>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</si>
  <si>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</si>
  <si>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</si>
  <si>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</si>
  <si>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</si>
  <si>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</si>
  <si>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</si>
  <si>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</si>
  <si>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</si>
  <si>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</si>
  <si>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</si>
  <si>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</si>
  <si>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</si>
  <si>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</si>
  <si>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</si>
  <si>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</si>
  <si>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</si>
  <si>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</si>
  <si>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</si>
  <si>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</si>
  <si>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</si>
  <si>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</si>
  <si>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</si>
  <si>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</si>
  <si>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</si>
  <si>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</si>
  <si>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</si>
  <si>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</si>
  <si>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</si>
  <si>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</si>
  <si>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</si>
  <si>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</si>
  <si>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</si>
  <si>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</si>
  <si>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</si>
  <si>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</si>
  <si>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</si>
  <si>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</si>
  <si>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</si>
  <si>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</si>
  <si>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</si>
  <si>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</si>
  <si>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</si>
  <si>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</si>
  <si>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</si>
  <si>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</si>
  <si>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</si>
  <si>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</si>
  <si>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</si>
  <si>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</si>
  <si>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</si>
  <si>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</si>
  <si>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</si>
  <si>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</si>
  <si>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</si>
  <si>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</si>
  <si>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</si>
  <si>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</si>
  <si>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</si>
  <si>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</si>
  <si>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</si>
  <si>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</si>
  <si>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</si>
  <si>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</si>
  <si>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</si>
  <si>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</si>
  <si>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</si>
  <si>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</si>
  <si>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</si>
  <si>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</si>
  <si>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</si>
  <si>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</si>
  <si>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</si>
  <si>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</si>
  <si>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</si>
  <si>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</si>
  <si>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</si>
  <si>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</si>
  <si>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</si>
  <si>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</si>
  <si>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</si>
  <si>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</si>
  <si>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</si>
  <si>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</si>
  <si>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</si>
  <si>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</si>
  <si>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</si>
  <si>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</si>
  <si>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</si>
  <si>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</si>
  <si>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</si>
  <si>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</si>
  <si>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</si>
  <si>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</si>
  <si>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</si>
  <si>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</si>
  <si>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</si>
  <si>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</si>
  <si>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</si>
  <si>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</si>
  <si>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</si>
  <si>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</si>
  <si>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</si>
  <si>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</si>
  <si>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</si>
  <si>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</si>
  <si>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</si>
  <si>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</si>
  <si>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</si>
  <si>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</si>
  <si>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</si>
  <si>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</si>
  <si>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</si>
  <si>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</si>
  <si>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</si>
  <si>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</si>
  <si>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</si>
  <si>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</si>
  <si>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</si>
  <si>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</si>
  <si>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</si>
  <si>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</si>
  <si>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</si>
  <si>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</si>
  <si>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</si>
  <si>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</si>
  <si>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</si>
  <si>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</si>
  <si>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</si>
  <si>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</si>
  <si>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</si>
  <si>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</si>
  <si>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</si>
  <si>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</si>
  <si>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</si>
  <si>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</si>
  <si>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</si>
  <si>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</si>
  <si>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</si>
  <si>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</si>
  <si>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</si>
  <si>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</si>
  <si>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</si>
  <si>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</si>
  <si>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</si>
  <si>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</si>
  <si>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</si>
  <si>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</si>
  <si>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</si>
  <si>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</si>
  <si>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</si>
  <si>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</si>
  <si>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</si>
  <si>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</si>
  <si>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</si>
  <si>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</si>
  <si>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</si>
  <si>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</si>
  <si>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</si>
  <si>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</si>
  <si>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</si>
  <si>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</si>
  <si>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</si>
  <si>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</si>
  <si>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</si>
  <si>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</si>
  <si>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</si>
  <si>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</si>
  <si>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</si>
  <si>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</si>
  <si>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</si>
  <si>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</si>
  <si>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</si>
  <si>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</si>
  <si>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</si>
  <si>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</si>
  <si>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</si>
  <si>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</si>
  <si>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</si>
  <si>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</si>
  <si>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</si>
  <si>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</si>
  <si>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</si>
  <si>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</si>
  <si>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</si>
  <si>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</si>
  <si>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</si>
  <si>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</si>
  <si>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</si>
  <si>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</si>
  <si>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</si>
  <si>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</si>
  <si>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</si>
  <si>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</si>
  <si>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</si>
  <si>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</si>
  <si>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</si>
  <si>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</si>
  <si>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</si>
  <si>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</si>
  <si>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</si>
  <si>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</si>
  <si>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</si>
  <si>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</si>
  <si>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</si>
  <si>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</si>
  <si>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</si>
  <si>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</si>
  <si>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</si>
  <si>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</si>
  <si>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</si>
  <si>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</si>
  <si>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</si>
  <si>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</si>
  <si>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</si>
  <si>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</si>
  <si>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</si>
  <si>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</si>
  <si>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</si>
  <si>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</si>
  <si>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</si>
  <si>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</si>
  <si>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</si>
  <si>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</si>
  <si>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</si>
  <si>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</si>
  <si>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</si>
  <si>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</si>
  <si>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</si>
  <si>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</si>
  <si>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</si>
  <si>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</si>
  <si>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</si>
  <si>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</si>
  <si>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</si>
  <si>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</si>
  <si>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</si>
  <si>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</si>
  <si>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</si>
  <si>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</si>
  <si>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</si>
  <si>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</si>
  <si>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</si>
  <si>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</si>
  <si>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</si>
  <si>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</si>
  <si>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</si>
  <si>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</si>
  <si>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</si>
  <si>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</si>
  <si>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</si>
  <si>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</si>
  <si>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</si>
  <si>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</si>
  <si>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</si>
  <si>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</si>
  <si>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</si>
  <si>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</si>
  <si>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</si>
  <si>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</si>
  <si>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</si>
  <si>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</si>
  <si>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</si>
  <si>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</si>
  <si>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</si>
  <si>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</si>
  <si>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</si>
  <si>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</si>
  <si>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</si>
  <si>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</si>
  <si>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</si>
  <si>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</si>
  <si>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</si>
  <si>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</si>
  <si>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</si>
  <si>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</si>
  <si>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</si>
  <si>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</si>
  <si>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</si>
  <si>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</si>
  <si>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</si>
  <si>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</si>
  <si>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</si>
  <si>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</si>
  <si>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</si>
  <si>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</si>
  <si>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</si>
  <si>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</si>
  <si>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</si>
  <si>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</si>
  <si>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</si>
  <si>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</si>
  <si>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</si>
  <si>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</si>
  <si>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</si>
  <si>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</si>
  <si>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</si>
  <si>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</si>
  <si>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</si>
  <si>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</si>
  <si>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</si>
  <si>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</si>
  <si>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</si>
  <si>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</si>
  <si>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</si>
  <si>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</si>
  <si>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</si>
  <si>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</si>
  <si>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</si>
  <si>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</si>
  <si>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</si>
  <si>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</si>
  <si>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</si>
  <si>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</si>
  <si>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</si>
  <si>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</si>
  <si>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</si>
  <si>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</si>
  <si>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</si>
  <si>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</si>
  <si>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</si>
  <si>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</si>
  <si>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</si>
  <si>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</si>
  <si>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</si>
  <si>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</si>
  <si>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</si>
  <si>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</si>
  <si>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</si>
  <si>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</si>
  <si>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</si>
  <si>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</si>
  <si>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</si>
  <si>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</si>
  <si>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</si>
  <si>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</si>
  <si>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</si>
  <si>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</si>
  <si>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</si>
  <si>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</si>
  <si>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</si>
  <si>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</si>
  <si>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</si>
  <si>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</si>
  <si>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</si>
  <si>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</si>
  <si>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</si>
  <si>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</si>
  <si>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</si>
  <si>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</si>
  <si>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</si>
  <si>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</si>
  <si>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</si>
  <si>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</si>
  <si>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</si>
  <si>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</si>
  <si>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</si>
  <si>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</si>
  <si>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</si>
  <si>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</si>
  <si>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</si>
  <si>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</si>
  <si>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</si>
  <si>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</si>
  <si>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</si>
  <si>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</si>
  <si>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</si>
  <si>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</si>
  <si>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</si>
  <si>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</si>
  <si>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</si>
  <si>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</si>
  <si>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</si>
  <si>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</si>
  <si>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</si>
  <si>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</si>
  <si>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</si>
  <si>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</si>
  <si>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</si>
  <si>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</si>
  <si>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</si>
  <si>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</si>
  <si>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</si>
  <si>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</si>
  <si>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</si>
  <si>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</si>
  <si>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</si>
  <si>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</si>
  <si>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</si>
  <si>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</si>
  <si>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</si>
  <si>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</si>
  <si>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</si>
  <si>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</si>
  <si>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</si>
  <si>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</si>
  <si>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</si>
  <si>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</si>
  <si>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</si>
  <si>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</si>
  <si>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</si>
  <si>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</si>
  <si>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</si>
  <si>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</si>
  <si>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</si>
  <si>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</si>
  <si>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</si>
  <si>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</si>
  <si>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</si>
  <si>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</si>
  <si>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</si>
  <si>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</si>
  <si>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</si>
  <si>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</si>
  <si>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</si>
  <si>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</si>
  <si>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</si>
  <si>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</si>
  <si>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</si>
  <si>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</si>
  <si>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</si>
  <si>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</si>
  <si>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</si>
  <si>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</si>
  <si>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</si>
  <si>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</si>
  <si>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</si>
  <si>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</si>
  <si>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</si>
  <si>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</si>
  <si>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</si>
  <si>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</si>
  <si>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</si>
  <si>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</si>
  <si>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</si>
  <si>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</si>
  <si>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</si>
  <si>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</si>
  <si>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</si>
  <si>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</si>
  <si>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</si>
  <si>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</si>
  <si>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</si>
  <si>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</si>
  <si>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</si>
  <si>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</si>
  <si>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</si>
  <si>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</si>
  <si>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</si>
  <si>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</si>
  <si>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</si>
  <si>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</si>
  <si>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</si>
  <si>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</si>
  <si>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</si>
  <si>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</si>
  <si>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</si>
  <si>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</si>
  <si>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</si>
  <si>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</si>
  <si>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</si>
  <si>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</si>
  <si>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</si>
  <si>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</si>
  <si>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</si>
  <si>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</si>
  <si>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</si>
  <si>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</si>
  <si>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</si>
  <si>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</si>
  <si>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</si>
  <si>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</si>
  <si>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</si>
  <si>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</si>
  <si>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</si>
  <si>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</si>
  <si>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</si>
  <si>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</si>
  <si>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</si>
  <si>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</si>
  <si>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</si>
  <si>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</si>
  <si>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</si>
  <si>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</si>
  <si>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</si>
  <si>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</si>
  <si>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</si>
  <si>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</si>
  <si>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</si>
  <si>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</si>
  <si>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</si>
  <si>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</si>
  <si>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</si>
  <si>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</si>
  <si>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</si>
  <si>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</si>
  <si>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</si>
  <si>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</si>
  <si>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</si>
  <si>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</si>
  <si>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</si>
  <si>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</si>
  <si>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</si>
  <si>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</si>
  <si>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</si>
  <si>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</si>
  <si>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</si>
  <si>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</si>
  <si>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</si>
  <si>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</si>
  <si>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</si>
  <si>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</si>
  <si>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</si>
  <si>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</si>
  <si>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</si>
  <si>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</si>
  <si>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</si>
  <si>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</si>
  <si>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</si>
  <si>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</si>
  <si>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</si>
  <si>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</si>
  <si>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</si>
  <si>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</si>
  <si>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</si>
  <si>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</si>
  <si>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</si>
  <si>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</si>
  <si>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</si>
  <si>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</si>
  <si>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</si>
  <si>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</si>
  <si>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</si>
  <si>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</si>
  <si>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</si>
  <si>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</si>
  <si>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</si>
  <si>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</si>
  <si>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</si>
  <si>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</si>
  <si>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</si>
  <si>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</si>
  <si>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</si>
  <si>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</si>
  <si>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</si>
  <si>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</si>
  <si>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</si>
  <si>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</si>
  <si>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</si>
  <si>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</si>
  <si>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</si>
  <si>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</si>
  <si>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</si>
  <si>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</si>
  <si>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</si>
  <si>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</si>
  <si>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</si>
  <si>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</si>
  <si>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</si>
  <si>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</si>
  <si>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</si>
  <si>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</si>
  <si>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</si>
  <si>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</si>
  <si>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</si>
  <si>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</si>
  <si>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</si>
  <si>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</si>
  <si>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</si>
  <si>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</si>
  <si>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</si>
  <si>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</si>
  <si>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</si>
  <si>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</si>
  <si>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</si>
  <si>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</si>
  <si>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</si>
  <si>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</si>
  <si>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</si>
  <si>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</si>
  <si>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</si>
  <si>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</si>
  <si>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</si>
  <si>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</si>
  <si>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</si>
  <si>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</si>
  <si>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</si>
  <si>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</si>
  <si>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</si>
  <si>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</si>
  <si>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</si>
  <si>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</si>
  <si>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</si>
  <si>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</si>
  <si>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</si>
  <si>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</si>
  <si>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</si>
  <si>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</si>
  <si>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</si>
  <si>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</si>
  <si>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</si>
  <si>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</si>
  <si>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</si>
  <si>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</si>
  <si>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</si>
  <si>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</si>
  <si>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</si>
  <si>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</si>
  <si>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</si>
  <si>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</si>
  <si>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</si>
  <si>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</si>
  <si>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</si>
  <si>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</si>
  <si>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</si>
  <si>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</si>
  <si>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</si>
  <si>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</si>
  <si>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</si>
  <si>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</si>
  <si>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</si>
  <si>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</si>
  <si>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</si>
  <si>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</si>
  <si>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</si>
  <si>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</si>
  <si>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</si>
  <si>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</si>
  <si>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</si>
  <si>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</si>
  <si>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</si>
  <si>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</si>
  <si>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</si>
  <si>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</si>
  <si>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</si>
  <si>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</si>
  <si>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</si>
  <si>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</si>
  <si>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</si>
  <si>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</si>
  <si>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</si>
  <si>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</si>
  <si>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</si>
  <si>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</si>
  <si>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</si>
  <si>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</si>
  <si>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</si>
  <si>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</si>
  <si>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</si>
  <si>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</si>
  <si>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</si>
  <si>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</si>
  <si>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</si>
  <si>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</si>
  <si>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</si>
  <si>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</si>
  <si>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</si>
  <si>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</si>
  <si>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</si>
  <si>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</si>
  <si>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</si>
  <si>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</si>
  <si>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</si>
  <si>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</si>
  <si>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</si>
  <si>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</si>
  <si>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</si>
  <si>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</si>
  <si>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</si>
  <si>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</si>
  <si>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</si>
  <si>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</si>
  <si>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</si>
  <si>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</si>
  <si>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</si>
  <si>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</si>
  <si>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</si>
  <si>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</si>
  <si>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</si>
  <si>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</si>
  <si>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</si>
  <si>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</si>
  <si>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</si>
  <si>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</si>
  <si>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</si>
  <si>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</si>
  <si>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</si>
  <si>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</si>
  <si>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</si>
  <si>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</si>
  <si>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</si>
  <si>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</si>
  <si>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</si>
  <si>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</si>
  <si>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</si>
  <si>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</si>
  <si>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</si>
  <si>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</si>
  <si>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</si>
  <si>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</si>
  <si>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</si>
  <si>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</si>
  <si>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</si>
  <si>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</si>
  <si>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</si>
  <si>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</si>
  <si>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</si>
  <si>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</si>
  <si>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</si>
  <si>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</si>
  <si>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</si>
  <si>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</si>
  <si>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</si>
  <si>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</si>
  <si>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</si>
  <si>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</si>
  <si>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</si>
  <si>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</si>
  <si>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</si>
  <si>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</si>
  <si>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</si>
  <si>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</si>
  <si>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</si>
  <si>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</si>
  <si>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</si>
  <si>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</si>
  <si>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</si>
  <si>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</si>
  <si>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</si>
  <si>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</si>
  <si>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</si>
  <si>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</si>
  <si>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</si>
  <si>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</si>
  <si>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</si>
  <si>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</si>
  <si>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</si>
  <si>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</si>
  <si>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</si>
  <si>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</si>
  <si>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</si>
  <si>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</si>
  <si>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</si>
  <si>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</si>
  <si>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</si>
  <si>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</si>
  <si>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</si>
  <si>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</si>
  <si>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</si>
  <si>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</si>
  <si>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</si>
  <si>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</si>
  <si>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</si>
  <si>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</si>
  <si>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</si>
  <si>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</si>
  <si>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</si>
  <si>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</si>
  <si>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</si>
  <si>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</si>
  <si>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</si>
  <si>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</si>
  <si>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</si>
  <si>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</si>
  <si>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</si>
  <si>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</si>
  <si>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</si>
  <si>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</si>
  <si>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</si>
  <si>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</si>
  <si>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</si>
  <si>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</si>
  <si>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</si>
  <si>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</si>
  <si>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</si>
  <si>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</si>
  <si>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</si>
  <si>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</si>
  <si>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</si>
  <si>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</si>
  <si>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</si>
  <si>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</si>
  <si>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</si>
  <si>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</si>
  <si>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</si>
  <si>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</si>
  <si>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</si>
  <si>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</si>
  <si>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</si>
  <si>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</si>
  <si>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</si>
  <si>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</si>
  <si>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</si>
  <si>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</si>
  <si>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</si>
  <si>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</si>
  <si>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</si>
  <si>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</si>
  <si>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</si>
  <si>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</si>
  <si>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</si>
  <si>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</si>
  <si>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</si>
  <si>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</si>
  <si>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</si>
  <si>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</si>
  <si>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</si>
  <si>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</si>
  <si>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</si>
  <si>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</si>
  <si>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</si>
  <si>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</si>
  <si>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</si>
  <si>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</si>
  <si>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</si>
  <si>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</si>
  <si>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</si>
  <si>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</si>
  <si>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</si>
  <si>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</si>
  <si>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</si>
  <si>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</si>
  <si>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</si>
  <si>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</si>
  <si>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</si>
  <si>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</si>
  <si>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</si>
  <si>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</si>
  <si>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</si>
  <si>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</si>
  <si>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</si>
  <si>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</si>
  <si>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</si>
  <si>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</si>
  <si>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</si>
  <si>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</si>
  <si>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</si>
  <si>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</si>
  <si>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</si>
  <si>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</si>
  <si>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</si>
  <si>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</si>
  <si>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</si>
  <si>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</si>
  <si>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</si>
  <si>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</si>
  <si>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</si>
  <si>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</si>
  <si>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</si>
  <si>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</si>
  <si>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</si>
  <si>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</si>
  <si>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</si>
  <si>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</si>
  <si>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</si>
  <si>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</si>
  <si>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</si>
  <si>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</si>
  <si>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</si>
  <si>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</si>
  <si>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</si>
  <si>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</si>
  <si>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</si>
  <si>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</si>
  <si>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</si>
  <si>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</si>
  <si>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</si>
  <si>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</si>
  <si>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</si>
  <si>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</si>
  <si>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</si>
  <si>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</si>
  <si>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</si>
  <si>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</si>
  <si>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</si>
  <si>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</si>
  <si>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</si>
  <si>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</si>
  <si>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</si>
  <si>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</si>
  <si>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</si>
  <si>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</si>
  <si>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</si>
  <si>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</si>
  <si>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</si>
  <si>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</si>
  <si>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</si>
  <si>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</si>
  <si>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</si>
  <si>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</si>
  <si>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</si>
  <si>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</si>
  <si>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</si>
  <si>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</si>
  <si>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</si>
  <si>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</si>
  <si>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</si>
  <si>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</si>
  <si>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</si>
  <si>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</si>
  <si>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</si>
  <si>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</si>
  <si>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</si>
  <si>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</si>
  <si>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</si>
  <si>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</si>
  <si>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</si>
  <si>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</si>
  <si>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</si>
  <si>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</si>
  <si>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</si>
  <si>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</si>
  <si>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</si>
  <si>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</si>
  <si>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</si>
  <si>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</si>
  <si>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</si>
  <si>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</si>
  <si>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</si>
  <si>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</si>
  <si>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</si>
  <si>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</si>
  <si>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</si>
  <si>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</si>
  <si>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</si>
  <si>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</si>
  <si>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</si>
  <si>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</si>
  <si>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</si>
  <si>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</si>
  <si>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</si>
  <si>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</si>
  <si>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</si>
  <si>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</si>
  <si>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</si>
  <si>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</si>
  <si>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</si>
  <si>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</si>
  <si>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</si>
  <si>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</si>
  <si>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</si>
  <si>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</si>
  <si>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</si>
  <si>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</si>
  <si>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</si>
  <si>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</si>
  <si>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</si>
  <si>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</si>
  <si>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</si>
  <si>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</si>
  <si>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</si>
  <si>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</si>
  <si>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</si>
  <si>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</si>
  <si>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</si>
  <si>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</si>
  <si>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</si>
  <si>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</si>
  <si>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</si>
  <si>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</si>
  <si>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</si>
  <si>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</si>
  <si>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</si>
  <si>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</si>
  <si>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</si>
  <si>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</si>
  <si>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</si>
  <si>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</si>
  <si>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</si>
  <si>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</si>
  <si>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</si>
  <si>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</si>
  <si>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</si>
  <si>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</si>
  <si>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</si>
  <si>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</si>
  <si>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</si>
  <si>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</si>
  <si>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</si>
  <si>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</si>
  <si>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</si>
  <si>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</si>
  <si>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</si>
  <si>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</si>
  <si>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</si>
  <si>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</si>
  <si>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</si>
  <si>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</si>
  <si>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</si>
  <si>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</si>
  <si>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</si>
  <si>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</si>
  <si>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</si>
  <si>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</si>
  <si>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</si>
  <si>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</si>
  <si>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</si>
  <si>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</si>
  <si>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</si>
  <si>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</si>
  <si>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</si>
  <si>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</si>
  <si>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</si>
  <si>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</si>
  <si>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</si>
  <si>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</si>
  <si>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</si>
  <si>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</si>
  <si>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</si>
  <si>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</si>
  <si>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</si>
  <si>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</si>
  <si>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</si>
  <si>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</si>
  <si>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</si>
  <si>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</si>
  <si>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</si>
  <si>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</si>
  <si>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</si>
  <si>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</si>
  <si>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</si>
  <si>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</si>
  <si>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</si>
  <si>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</si>
  <si>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</si>
  <si>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</si>
  <si>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</si>
  <si>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</si>
  <si>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</si>
  <si>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</si>
  <si>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</si>
  <si>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</si>
  <si>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</si>
  <si>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</si>
  <si>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</si>
  <si>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</si>
  <si>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</si>
  <si>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</si>
  <si>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</si>
  <si>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</si>
  <si>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</si>
  <si>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</si>
  <si>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</si>
  <si>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</si>
  <si>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</si>
  <si>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</si>
  <si>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</si>
  <si>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</si>
  <si>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</si>
  <si>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</si>
  <si>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</si>
  <si>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</si>
  <si>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</si>
  <si>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</si>
  <si>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</si>
  <si>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</si>
  <si>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</si>
  <si>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</si>
  <si>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</si>
  <si>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</si>
  <si>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</si>
  <si>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</si>
  <si>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</si>
  <si>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</si>
  <si>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</si>
  <si>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</si>
  <si>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</si>
  <si>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</si>
  <si>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</si>
  <si>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</si>
  <si>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</si>
  <si>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</si>
  <si>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</si>
  <si>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</si>
  <si>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</si>
  <si>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</si>
  <si>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</si>
  <si>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</si>
  <si>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</si>
  <si>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</si>
  <si>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</si>
  <si>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</si>
  <si>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</si>
  <si>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</si>
  <si>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</si>
  <si>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</si>
  <si>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</si>
  <si>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</si>
  <si>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</si>
  <si>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</si>
  <si>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</si>
  <si>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</si>
  <si>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</si>
  <si>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</si>
  <si>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</si>
  <si>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</si>
  <si>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</si>
  <si>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</si>
  <si>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</si>
  <si>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</si>
  <si>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</si>
  <si>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</si>
  <si>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</si>
  <si>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</si>
  <si>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</si>
  <si>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</si>
  <si>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</si>
  <si>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</si>
  <si>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</si>
  <si>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</si>
  <si>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</si>
  <si>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</si>
  <si>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</si>
  <si>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</si>
  <si>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</si>
  <si>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</si>
  <si>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</si>
  <si>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</si>
  <si>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</si>
  <si>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</si>
  <si>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</si>
  <si>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</si>
  <si>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</si>
  <si>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</si>
  <si>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</si>
  <si>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</si>
  <si>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</si>
  <si>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</si>
  <si>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</si>
  <si>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</si>
  <si>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</si>
  <si>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</si>
  <si>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</si>
  <si>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</si>
  <si>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</si>
  <si>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</si>
  <si>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</si>
  <si>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</si>
  <si>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</si>
  <si>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</si>
  <si>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</si>
  <si>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</si>
  <si>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</si>
  <si>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</si>
  <si>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</si>
  <si>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</si>
  <si>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</si>
  <si>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</si>
  <si>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</si>
  <si>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</si>
  <si>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</si>
  <si>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</si>
  <si>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</si>
  <si>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</si>
  <si>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</si>
  <si>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</si>
  <si>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</si>
  <si>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</si>
  <si>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</si>
  <si>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</si>
  <si>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</si>
  <si>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</si>
  <si>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</si>
  <si>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</si>
  <si>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</si>
  <si>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</si>
  <si>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</si>
  <si>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</si>
  <si>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</si>
  <si>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</si>
  <si>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</si>
  <si>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</si>
  <si>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</si>
  <si>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</si>
  <si>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</si>
  <si>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</si>
  <si>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</si>
  <si>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</si>
  <si>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</si>
  <si>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</si>
  <si>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</si>
  <si>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</si>
  <si>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</si>
  <si>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</si>
  <si>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</si>
  <si>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</si>
  <si>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</si>
  <si>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</si>
  <si>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</si>
  <si>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</si>
  <si>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</si>
  <si>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</si>
  <si>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</si>
  <si>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</si>
  <si>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</si>
  <si>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</si>
  <si>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</si>
  <si>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</si>
  <si>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</si>
  <si>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</si>
  <si>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</si>
  <si>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</si>
  <si>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</si>
  <si>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</si>
  <si>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</si>
  <si>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</si>
  <si>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</si>
  <si>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</si>
  <si>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</si>
  <si>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</si>
  <si>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</si>
  <si>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</si>
  <si>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</si>
  <si>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</si>
  <si>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</si>
  <si>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</si>
  <si>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</si>
  <si>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</si>
  <si>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</si>
  <si>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</si>
  <si>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</si>
  <si>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</si>
  <si>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</si>
  <si>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</si>
  <si>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</si>
  <si>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</si>
  <si>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</si>
  <si>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</si>
  <si>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</si>
  <si>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</si>
  <si>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</si>
  <si>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</si>
  <si>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</si>
  <si>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</si>
  <si>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</si>
  <si>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</si>
  <si>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</si>
  <si>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</si>
  <si>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</si>
  <si>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</si>
  <si>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</si>
  <si>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</si>
  <si>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</si>
  <si>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</si>
  <si>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</si>
  <si>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</si>
  <si>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</si>
  <si>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</si>
  <si>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</si>
  <si>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</si>
  <si>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</si>
  <si>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</si>
  <si>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</si>
  <si>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</si>
  <si>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</si>
  <si>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</si>
  <si>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</si>
  <si>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</si>
  <si>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</si>
  <si>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</si>
  <si>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</si>
  <si>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</si>
  <si>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</si>
  <si>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</si>
  <si>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</si>
  <si>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</si>
  <si>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</si>
  <si>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</si>
  <si>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</si>
  <si>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</si>
  <si>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</si>
  <si>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</si>
  <si>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</si>
  <si>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</si>
  <si>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</si>
  <si>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</si>
  <si>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</si>
  <si>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</si>
  <si>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</si>
  <si>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</si>
  <si>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</si>
  <si>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</si>
  <si>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</si>
  <si>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</si>
  <si>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</si>
  <si>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</si>
  <si>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</si>
  <si>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</si>
  <si>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</si>
  <si>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</si>
  <si>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</si>
  <si>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</si>
  <si>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</si>
  <si>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</si>
  <si>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</si>
  <si>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</si>
  <si>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</si>
  <si>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</si>
  <si>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</si>
  <si>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</si>
  <si>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</si>
  <si>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</si>
  <si>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</si>
  <si>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</si>
  <si>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</si>
  <si>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</si>
  <si>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</si>
  <si>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</si>
  <si>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</si>
  <si>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</si>
  <si>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</si>
  <si>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</si>
  <si>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</si>
  <si>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</si>
  <si>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</si>
  <si>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</si>
  <si>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</si>
  <si>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</si>
  <si>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</si>
  <si>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</si>
  <si>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</si>
  <si>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</si>
  <si>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</si>
  <si>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</si>
  <si>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</si>
  <si>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</si>
  <si>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</si>
  <si>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</si>
  <si>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</si>
  <si>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</si>
  <si>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</si>
  <si>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</si>
  <si>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</si>
  <si>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</si>
  <si>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</si>
  <si>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</si>
  <si>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</si>
  <si>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</si>
  <si>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</si>
  <si>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</si>
  <si>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</si>
  <si>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</si>
  <si>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</si>
  <si>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</si>
  <si>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</si>
  <si>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</si>
  <si>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</si>
  <si>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</si>
  <si>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</si>
  <si>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</si>
  <si>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</si>
  <si>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</si>
  <si>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</si>
  <si>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</si>
  <si>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</si>
  <si>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</si>
  <si>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</si>
  <si>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</si>
  <si>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</si>
  <si>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</si>
  <si>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</si>
  <si>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</si>
  <si>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</si>
  <si>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</si>
  <si>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</si>
  <si>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</si>
  <si>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</si>
  <si>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</si>
  <si>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</si>
  <si>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</si>
  <si>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</si>
  <si>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</si>
  <si>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</si>
  <si>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</si>
  <si>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</si>
  <si>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</si>
  <si>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</si>
  <si>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</si>
  <si>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</si>
  <si>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</si>
  <si>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</si>
  <si>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</si>
  <si>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</si>
  <si>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</si>
  <si>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</si>
  <si>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</si>
  <si>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</si>
  <si>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</si>
  <si>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</si>
  <si>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</si>
  <si>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</si>
  <si>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</si>
  <si>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</si>
  <si>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</si>
  <si>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</si>
  <si>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</si>
  <si>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</si>
  <si>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</si>
  <si>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</si>
  <si>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</si>
  <si>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</si>
  <si>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</si>
  <si>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</si>
  <si>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</si>
  <si>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</si>
  <si>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</si>
  <si>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</si>
  <si>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</si>
  <si>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</si>
  <si>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</si>
  <si>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</si>
  <si>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</si>
  <si>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</si>
  <si>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</si>
  <si>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</si>
  <si>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</si>
  <si>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</si>
  <si>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</si>
  <si>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</si>
  <si>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</si>
  <si>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</si>
  <si>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</si>
  <si>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</si>
  <si>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</si>
  <si>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</si>
  <si>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</si>
  <si>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</si>
  <si>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</si>
  <si>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</si>
  <si>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</si>
  <si>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</si>
  <si>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</si>
  <si>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</si>
  <si>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</si>
  <si>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</si>
  <si>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</si>
  <si>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</si>
  <si>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</si>
  <si>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</si>
  <si>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</si>
  <si>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</si>
  <si>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</si>
  <si>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</si>
  <si>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</si>
  <si>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</si>
  <si>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</si>
  <si>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</si>
  <si>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</si>
  <si>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</si>
  <si>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</si>
  <si>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</si>
  <si>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</si>
  <si>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</si>
  <si>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</si>
  <si>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</si>
  <si>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</si>
  <si>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</si>
  <si>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</si>
  <si>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</si>
  <si>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</si>
  <si>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</si>
  <si>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</si>
  <si>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</si>
  <si>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</si>
  <si>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</si>
  <si>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</si>
  <si>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</si>
  <si>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</si>
  <si>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</si>
  <si>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</si>
  <si>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</si>
  <si>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</si>
  <si>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</si>
  <si>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</si>
  <si>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</si>
  <si>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</si>
  <si>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</si>
  <si>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</si>
  <si>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</si>
  <si>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</si>
  <si>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</si>
  <si>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</si>
  <si>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</si>
  <si>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</si>
  <si>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</si>
  <si>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</si>
  <si>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</si>
  <si>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</si>
  <si>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</si>
  <si>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</si>
  <si>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</si>
  <si>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</si>
  <si>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</si>
  <si>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</si>
  <si>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</si>
  <si>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</si>
  <si>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</si>
  <si>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</si>
  <si>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</si>
  <si>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</si>
  <si>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</si>
  <si>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</si>
  <si>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</si>
  <si>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</si>
  <si>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</si>
  <si>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</si>
  <si>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</si>
  <si>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</si>
  <si>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</si>
  <si>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</si>
  <si>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</si>
  <si>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</si>
  <si>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</si>
  <si>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</si>
  <si>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</si>
  <si>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</si>
  <si>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</si>
  <si>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</si>
  <si>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</si>
  <si>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</si>
  <si>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</si>
  <si>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</si>
  <si>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</si>
  <si>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</si>
  <si>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</si>
  <si>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</si>
  <si>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</si>
  <si>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</si>
  <si>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</si>
  <si>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</si>
  <si>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</si>
  <si>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</si>
  <si>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</si>
  <si>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</si>
  <si>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</si>
  <si>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</si>
  <si>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</si>
  <si>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</si>
  <si>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</si>
  <si>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</si>
  <si>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</si>
  <si>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</si>
  <si>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</si>
  <si>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</si>
  <si>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</si>
  <si>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</si>
  <si>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</si>
  <si>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</si>
  <si>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</si>
  <si>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</si>
  <si>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</si>
  <si>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</si>
  <si>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</si>
  <si>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</si>
  <si>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</si>
  <si>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</si>
  <si>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</si>
  <si>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</si>
  <si>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</si>
  <si>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</si>
  <si>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</si>
  <si>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</si>
  <si>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</si>
  <si>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</si>
  <si>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</si>
  <si>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</si>
  <si>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</si>
  <si>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</si>
  <si>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</si>
  <si>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</si>
  <si>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</si>
  <si>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</si>
  <si>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</si>
  <si>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</si>
  <si>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</si>
  <si>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</si>
  <si>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</si>
  <si>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</si>
  <si>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</si>
  <si>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</si>
  <si>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</si>
  <si>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</si>
  <si>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</si>
  <si>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</si>
  <si>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</si>
  <si>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</si>
  <si>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</si>
  <si>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</si>
  <si>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</si>
  <si>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</si>
  <si>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</si>
  <si>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</si>
  <si>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</si>
  <si>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</si>
  <si>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</si>
  <si>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</si>
  <si>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</si>
  <si>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</si>
  <si>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</si>
  <si>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</si>
  <si>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</si>
  <si>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</si>
  <si>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</si>
  <si>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</si>
  <si>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</si>
  <si>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</si>
  <si>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</si>
  <si>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</si>
  <si>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</si>
  <si>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</si>
  <si>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</si>
  <si>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</si>
  <si>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</si>
  <si>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</si>
  <si>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</si>
  <si>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</si>
  <si>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</si>
  <si>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</si>
  <si>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</si>
  <si>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</si>
  <si>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</si>
  <si>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</si>
  <si>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</si>
  <si>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</si>
  <si>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</si>
  <si>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</si>
  <si>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</si>
  <si>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</si>
  <si>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</si>
  <si>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</si>
  <si>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</si>
  <si>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</si>
  <si>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</si>
  <si>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</si>
  <si>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</si>
  <si>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</si>
  <si>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</si>
  <si>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</si>
  <si>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</si>
  <si>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</si>
  <si>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</si>
  <si>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</si>
  <si>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</si>
  <si>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</si>
  <si>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</si>
  <si>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</si>
  <si>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</si>
  <si>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</si>
  <si>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</si>
  <si>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</si>
  <si>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</si>
  <si>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</si>
  <si>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</si>
  <si>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</si>
  <si>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</si>
  <si>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</si>
  <si>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</si>
  <si>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</si>
  <si>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</si>
  <si>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</si>
  <si>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</si>
  <si>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</si>
  <si>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</si>
  <si>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</si>
  <si>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</si>
  <si>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</si>
  <si>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</si>
  <si>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</si>
  <si>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</si>
  <si>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</si>
  <si>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</si>
  <si>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</si>
  <si>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</si>
  <si>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</si>
  <si>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</si>
  <si>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</si>
  <si>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</si>
  <si>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</si>
  <si>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</si>
  <si>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</si>
  <si>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</si>
  <si>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</si>
  <si>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</si>
  <si>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</si>
  <si>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</si>
  <si>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</si>
  <si>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</si>
  <si>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</si>
  <si>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</si>
  <si>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</si>
  <si>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</si>
  <si>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</si>
  <si>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</si>
  <si>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</si>
  <si>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</si>
  <si>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</si>
  <si>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</si>
  <si>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</si>
  <si>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</si>
  <si>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</si>
  <si>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</si>
  <si>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</si>
  <si>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</si>
  <si>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</si>
  <si>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</si>
  <si>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</si>
  <si>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</si>
  <si>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</si>
  <si>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</si>
  <si>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</si>
  <si>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</si>
  <si>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</si>
  <si>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</si>
  <si>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</si>
  <si>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</si>
  <si>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</si>
  <si>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</si>
  <si>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</si>
  <si>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</si>
  <si>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</si>
  <si>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</si>
  <si>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</si>
  <si>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</si>
  <si>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</si>
  <si>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</si>
  <si>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</si>
  <si>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</si>
  <si>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</si>
  <si>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</si>
  <si>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</si>
  <si>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</si>
  <si>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</si>
  <si>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</si>
  <si>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</si>
  <si>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</si>
  <si>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</si>
  <si>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</si>
  <si>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</si>
  <si>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</si>
  <si>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</si>
  <si>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</si>
  <si>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</si>
  <si>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</si>
  <si>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</si>
  <si>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</si>
  <si>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</si>
  <si>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</si>
  <si>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</si>
  <si>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</si>
  <si>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</si>
  <si>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</si>
  <si>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</si>
  <si>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</si>
  <si>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</si>
  <si>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</si>
  <si>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</si>
  <si>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</si>
  <si>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</si>
  <si>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</si>
  <si>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</si>
  <si>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</si>
  <si>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</si>
  <si>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</si>
  <si>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</si>
  <si>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</si>
  <si>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</si>
  <si>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</si>
  <si>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</si>
  <si>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</si>
  <si>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</si>
  <si>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</si>
  <si>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</si>
  <si>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</si>
  <si>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</si>
  <si>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</si>
  <si>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</si>
  <si>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</si>
  <si>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</si>
  <si>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</si>
  <si>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</si>
  <si>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</si>
  <si>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</si>
  <si>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</si>
  <si>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</si>
  <si>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</si>
  <si>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</si>
  <si>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</si>
  <si>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</si>
  <si>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</si>
  <si>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</si>
  <si>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</si>
  <si>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</si>
  <si>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</si>
  <si>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</si>
  <si>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</si>
  <si>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</si>
  <si>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</si>
  <si>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</si>
  <si>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</si>
  <si>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</si>
  <si>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</si>
  <si>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</si>
  <si>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</si>
  <si>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</si>
  <si>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</si>
  <si>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</si>
  <si>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</si>
  <si>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</si>
  <si>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</si>
  <si>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</si>
  <si>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</si>
  <si>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</si>
  <si>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</si>
  <si>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</si>
  <si>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</si>
  <si>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</si>
  <si>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</si>
  <si>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</si>
  <si>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</si>
  <si>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</si>
  <si>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</si>
  <si>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</si>
  <si>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</si>
  <si>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</si>
  <si>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</si>
  <si>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</si>
  <si>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</si>
  <si>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</si>
  <si>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</si>
  <si>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</si>
  <si>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</si>
  <si>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</si>
  <si>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</si>
  <si>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</si>
  <si>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</si>
  <si>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</si>
  <si>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</si>
  <si>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</si>
  <si>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</si>
  <si>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</si>
  <si>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</si>
  <si>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</si>
  <si>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</si>
  <si>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</si>
  <si>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</si>
  <si>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</si>
  <si>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</si>
  <si>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</si>
  <si>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</si>
  <si>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</si>
  <si>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</si>
  <si>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</si>
  <si>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</si>
  <si>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</si>
  <si>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</si>
  <si>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</si>
  <si>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</si>
  <si>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</si>
  <si>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</si>
  <si>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</si>
  <si>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</si>
  <si>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</si>
  <si>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</si>
  <si>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</si>
  <si>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</si>
  <si>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</si>
  <si>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</si>
  <si>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</si>
  <si>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</si>
  <si>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</si>
  <si>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</si>
  <si>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</si>
  <si>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</si>
  <si>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</si>
  <si>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</si>
  <si>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</si>
  <si>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</si>
  <si>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</si>
  <si>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</si>
  <si>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</si>
  <si>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</si>
  <si>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</si>
  <si>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</si>
  <si>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</si>
  <si>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</si>
  <si>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</si>
  <si>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</si>
  <si>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</si>
  <si>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</si>
  <si>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</si>
  <si>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</si>
  <si>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</si>
  <si>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</si>
  <si>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</si>
  <si>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</si>
  <si>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</si>
  <si>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</si>
  <si>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</si>
  <si>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</si>
  <si>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</si>
  <si>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</si>
  <si>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</si>
  <si>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</si>
  <si>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</si>
  <si>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</si>
  <si>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</si>
  <si>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</si>
  <si>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</si>
  <si>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</si>
  <si>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</si>
  <si>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</si>
  <si>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</si>
  <si>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</si>
  <si>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</si>
  <si>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</si>
  <si>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</si>
  <si>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</si>
  <si>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</si>
  <si>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</si>
  <si>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</si>
  <si>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</si>
  <si>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</si>
  <si>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</si>
  <si>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</si>
  <si>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</si>
  <si>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</si>
  <si>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</si>
  <si>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</si>
  <si>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</si>
  <si>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</si>
  <si>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</si>
  <si>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</si>
  <si>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</si>
  <si>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</si>
  <si>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</si>
  <si>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</si>
  <si>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</si>
  <si>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</si>
  <si>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</si>
  <si>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</si>
  <si>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</si>
  <si>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</si>
  <si>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</si>
  <si>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</si>
  <si>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</si>
  <si>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</si>
  <si>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</si>
  <si>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</si>
  <si>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</si>
  <si>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</si>
  <si>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</si>
  <si>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</si>
  <si>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</si>
  <si>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</si>
  <si>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</si>
  <si>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</si>
  <si>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</si>
  <si>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</si>
  <si>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</si>
  <si>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</si>
  <si>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</si>
  <si>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</si>
  <si>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</si>
  <si>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</si>
  <si>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</si>
  <si>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</si>
  <si>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</si>
  <si>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</si>
  <si>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</si>
  <si>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</si>
  <si>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</si>
  <si>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</si>
  <si>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</si>
  <si>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</si>
  <si>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</si>
  <si>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</si>
  <si>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</si>
  <si>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</si>
  <si>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</si>
  <si>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</si>
  <si>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</si>
  <si>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</si>
  <si>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</si>
  <si>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</si>
  <si>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</si>
  <si>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</si>
  <si>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</si>
  <si>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</si>
  <si>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</si>
  <si>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</si>
  <si>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</si>
  <si>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</si>
  <si>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</si>
  <si>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</si>
  <si>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</si>
  <si>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</si>
  <si>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</si>
  <si>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</si>
  <si>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</si>
  <si>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</si>
  <si>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</si>
  <si>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</si>
  <si>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</si>
  <si>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</si>
  <si>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</si>
  <si>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</si>
  <si>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</si>
  <si>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</si>
  <si>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</si>
  <si>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</si>
  <si>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</si>
  <si>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</si>
  <si>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</si>
  <si>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</si>
  <si>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</si>
  <si>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</si>
  <si>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</si>
  <si>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</si>
  <si>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</si>
  <si>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</si>
  <si>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</si>
  <si>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</si>
  <si>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</si>
  <si>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</si>
  <si>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</si>
  <si>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</si>
  <si>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</si>
  <si>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</si>
  <si>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</si>
  <si>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</si>
  <si>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</si>
  <si>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</si>
  <si>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</si>
  <si>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</si>
  <si>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</si>
  <si>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</si>
  <si>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</si>
  <si>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</si>
  <si>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</si>
  <si>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</si>
  <si>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</si>
  <si>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</si>
  <si>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</si>
  <si>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</si>
  <si>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</si>
  <si>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</si>
  <si>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</si>
  <si>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</si>
  <si>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</si>
  <si>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</si>
  <si>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</si>
  <si>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</si>
  <si>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</si>
  <si>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</si>
  <si>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</si>
  <si>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</si>
  <si>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</si>
  <si>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</si>
  <si>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</si>
  <si>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</si>
  <si>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</si>
  <si>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</si>
  <si>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</si>
  <si>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</si>
  <si>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</si>
  <si>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</si>
  <si>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</si>
  <si>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</si>
  <si>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</si>
  <si>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</si>
  <si>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</si>
  <si>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</si>
  <si>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</si>
  <si>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</si>
  <si>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</si>
  <si>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</si>
  <si>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</si>
  <si>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</si>
  <si>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</si>
  <si>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</si>
  <si>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</si>
  <si>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</si>
  <si>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</si>
  <si>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</si>
  <si>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</si>
  <si>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</si>
  <si>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</si>
  <si>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</si>
  <si>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</si>
  <si>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</si>
  <si>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</si>
  <si>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</si>
  <si>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</si>
  <si>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</si>
  <si>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</si>
  <si>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</si>
  <si>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</si>
  <si>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</si>
  <si>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</si>
  <si>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</si>
  <si>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</si>
  <si>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</si>
  <si>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</si>
  <si>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</si>
  <si>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</si>
  <si>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</si>
  <si>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</si>
  <si>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</si>
  <si>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</si>
  <si>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</si>
  <si>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</si>
  <si>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</si>
  <si>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</si>
  <si>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</si>
  <si>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</si>
  <si>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</si>
  <si>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</si>
  <si>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</si>
  <si>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</si>
  <si>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</si>
  <si>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</si>
  <si>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</si>
  <si>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</si>
  <si>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</si>
  <si>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</si>
  <si>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</si>
  <si>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</si>
  <si>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</si>
  <si>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</si>
  <si>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</si>
  <si>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</si>
  <si>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</si>
  <si>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</si>
  <si>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</si>
  <si>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</si>
  <si>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</si>
  <si>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</si>
  <si>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</si>
  <si>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</si>
  <si>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</si>
  <si>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</si>
  <si>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</si>
  <si>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</si>
  <si>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</si>
  <si>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</si>
  <si>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</si>
  <si>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</si>
  <si>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</si>
  <si>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</si>
  <si>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</si>
  <si>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</si>
  <si>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</si>
  <si>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</si>
  <si>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</si>
  <si>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</si>
  <si>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</si>
  <si>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</si>
  <si>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</si>
  <si>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</si>
  <si>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</si>
  <si>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</si>
  <si>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</si>
  <si>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</si>
  <si>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</si>
  <si>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</si>
  <si>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</si>
  <si>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</si>
  <si>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</si>
  <si>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</si>
  <si>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</si>
  <si>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</si>
  <si>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</si>
  <si>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</si>
  <si>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</si>
  <si>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</si>
  <si>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</si>
  <si>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</si>
  <si>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</si>
  <si>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</si>
  <si>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</si>
  <si>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</si>
  <si>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</si>
  <si>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</si>
  <si>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</si>
  <si>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</si>
  <si>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</si>
  <si>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</si>
  <si>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</si>
  <si>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</si>
  <si>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</si>
  <si>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</si>
  <si>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</si>
  <si>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</si>
  <si>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</si>
  <si>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</si>
  <si>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</si>
  <si>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</si>
  <si>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</si>
  <si>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</si>
  <si>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</si>
  <si>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</si>
  <si>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</si>
  <si>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</si>
  <si>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</si>
  <si>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</si>
  <si>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</si>
  <si>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</si>
  <si>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</si>
  <si>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</si>
  <si>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</si>
  <si>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</si>
  <si>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</si>
  <si>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</si>
  <si>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</si>
  <si>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</si>
  <si>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</si>
  <si>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</si>
  <si>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</si>
  <si>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</si>
  <si>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</si>
  <si>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</si>
  <si>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</si>
  <si>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</si>
  <si>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</si>
  <si>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</si>
  <si>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</si>
  <si>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</si>
  <si>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</si>
  <si>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</si>
  <si>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</si>
  <si>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</si>
  <si>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</si>
  <si>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</si>
  <si>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</si>
  <si>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</si>
  <si>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</si>
  <si>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</si>
  <si>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</si>
  <si>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</si>
  <si>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</si>
  <si>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</si>
  <si>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</si>
  <si>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</si>
  <si>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</si>
  <si>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</si>
  <si>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</si>
  <si>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</si>
  <si>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</si>
  <si>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</si>
  <si>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</si>
  <si>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</si>
  <si>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</si>
  <si>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</si>
  <si>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</si>
  <si>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</si>
  <si>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</si>
  <si>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</si>
  <si>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</si>
  <si>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</si>
  <si>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</si>
  <si>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</si>
  <si>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</si>
  <si>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</si>
  <si>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</si>
  <si>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</si>
  <si>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</si>
  <si>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</si>
  <si>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</si>
  <si>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</si>
  <si>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</si>
  <si>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</si>
  <si>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</si>
  <si>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</si>
  <si>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</si>
  <si>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</si>
  <si>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</si>
  <si>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</si>
  <si>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</si>
  <si>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</si>
  <si>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</si>
  <si>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</si>
  <si>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</si>
  <si>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</si>
  <si>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</si>
  <si>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</si>
  <si>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</si>
  <si>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</si>
  <si>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</si>
  <si>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</si>
  <si>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</si>
  <si>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</si>
  <si>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</si>
  <si>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</si>
  <si>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</si>
  <si>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</si>
  <si>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</si>
  <si>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</si>
  <si>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</si>
  <si>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</si>
  <si>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</si>
  <si>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</si>
  <si>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</si>
  <si>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</si>
  <si>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</si>
  <si>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</si>
  <si>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</si>
  <si>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</si>
  <si>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</si>
  <si>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</si>
  <si>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</si>
  <si>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</si>
  <si>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</si>
  <si>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</si>
  <si>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</si>
  <si>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</si>
  <si>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</si>
  <si>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</si>
  <si>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</si>
  <si>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</si>
  <si>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</si>
  <si>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</si>
  <si>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</si>
  <si>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</si>
  <si>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</si>
  <si>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</si>
  <si>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</si>
  <si>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</si>
  <si>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</si>
  <si>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</si>
  <si>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</si>
  <si>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</si>
  <si>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</si>
  <si>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</si>
  <si>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</si>
  <si>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</si>
  <si>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</si>
  <si>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</si>
  <si>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</si>
  <si>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</si>
  <si>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</si>
  <si>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</si>
  <si>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</si>
  <si>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</si>
  <si>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</si>
  <si>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</si>
  <si>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</si>
  <si>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</si>
  <si>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</si>
  <si>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</si>
  <si>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</si>
  <si>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</si>
  <si>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</si>
  <si>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</si>
  <si>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</si>
  <si>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</si>
  <si>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</si>
  <si>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</si>
  <si>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</si>
  <si>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</si>
  <si>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</si>
  <si>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</si>
  <si>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</si>
  <si>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</si>
  <si>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</si>
  <si>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</si>
  <si>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</si>
  <si>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</si>
  <si>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</si>
  <si>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</si>
  <si>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</si>
  <si>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</si>
  <si>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</si>
  <si>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</si>
  <si>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</si>
  <si>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</si>
  <si>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</si>
  <si>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</si>
  <si>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</si>
  <si>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</si>
  <si>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</si>
  <si>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</si>
  <si>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</si>
  <si>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</si>
  <si>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</si>
  <si>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</si>
  <si>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</si>
  <si>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</si>
  <si>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</si>
  <si>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</si>
  <si>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</si>
  <si>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</si>
  <si>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</si>
  <si>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</si>
  <si>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</si>
  <si>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</si>
  <si>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</si>
  <si>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</si>
  <si>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</si>
  <si>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</si>
  <si>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</si>
  <si>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</si>
  <si>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</si>
  <si>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</si>
  <si>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</si>
  <si>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</si>
  <si>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</si>
  <si>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</si>
  <si>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</si>
  <si>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</si>
  <si>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</si>
  <si>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</si>
  <si>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</si>
  <si>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</si>
  <si>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</si>
  <si>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</si>
  <si>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</si>
  <si>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</si>
  <si>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</si>
  <si>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</si>
  <si>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</si>
  <si>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</si>
  <si>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</si>
  <si>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</si>
  <si>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</si>
  <si>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</si>
  <si>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</si>
  <si>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</si>
  <si>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</si>
  <si>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</si>
  <si>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</si>
  <si>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</si>
  <si>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</si>
  <si>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</si>
  <si>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</si>
  <si>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</si>
  <si>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</si>
  <si>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</si>
  <si>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</si>
  <si>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</si>
  <si>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</si>
  <si>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</si>
  <si>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</si>
  <si>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</si>
  <si>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</si>
  <si>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</si>
  <si>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</si>
  <si>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</si>
  <si>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</si>
  <si>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</si>
  <si>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</si>
  <si>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</si>
  <si>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</si>
  <si>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</si>
  <si>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</si>
  <si>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</si>
  <si>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</si>
  <si>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</si>
  <si>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</si>
  <si>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</si>
  <si>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</si>
  <si>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</si>
  <si>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</si>
  <si>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</si>
  <si>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</si>
  <si>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</si>
  <si>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</si>
  <si>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</si>
  <si>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</si>
  <si>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</si>
  <si>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</si>
  <si>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</si>
  <si>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</si>
  <si>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</si>
  <si>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</si>
  <si>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</si>
  <si>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</si>
  <si>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</si>
  <si>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</si>
  <si>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</si>
  <si>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</si>
  <si>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</si>
  <si>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</si>
  <si>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</si>
  <si>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</si>
  <si>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</si>
  <si>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</si>
  <si>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</si>
  <si>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</si>
  <si>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</si>
  <si>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</si>
  <si>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</si>
  <si>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</si>
  <si>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</si>
  <si>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</si>
  <si>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</si>
  <si>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</si>
  <si>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</si>
  <si>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</si>
  <si>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</si>
  <si>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</si>
  <si>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</si>
  <si>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</si>
  <si>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</si>
  <si>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</si>
  <si>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</si>
  <si>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</si>
  <si>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</si>
  <si>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</si>
  <si>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</si>
  <si>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</si>
  <si>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</si>
  <si>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</si>
  <si>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</si>
  <si>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</si>
  <si>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</si>
  <si>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</si>
  <si>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</si>
  <si>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</si>
  <si>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</si>
  <si>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</si>
  <si>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</si>
  <si>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</si>
  <si>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</si>
  <si>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</si>
  <si>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</si>
  <si>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</si>
  <si>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</si>
  <si>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</si>
  <si>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</si>
  <si>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</si>
  <si>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</si>
  <si>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</si>
  <si>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</si>
  <si>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</si>
  <si>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</si>
  <si>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</si>
  <si>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</si>
  <si>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</si>
  <si>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</si>
  <si>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</si>
  <si>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</si>
  <si>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</si>
  <si>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</si>
  <si>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</si>
  <si>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</si>
  <si>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</si>
  <si>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</si>
  <si>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</si>
  <si>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</si>
  <si>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</si>
  <si>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</si>
  <si>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</si>
  <si>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</si>
  <si>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</si>
  <si>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</si>
  <si>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</si>
  <si>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</si>
  <si>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</si>
  <si>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</si>
  <si>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</si>
  <si>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</si>
  <si>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</si>
  <si>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</si>
  <si>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</si>
  <si>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</si>
  <si>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</si>
  <si>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</si>
  <si>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</si>
  <si>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</si>
  <si>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</si>
  <si>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</si>
  <si>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</si>
  <si>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</si>
  <si>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</si>
  <si>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</si>
  <si>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</si>
  <si>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</si>
  <si>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</si>
  <si>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</si>
  <si>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</si>
  <si>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</si>
  <si>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</si>
  <si>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</si>
  <si>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</si>
  <si>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</si>
  <si>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</si>
  <si>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</si>
  <si>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</si>
  <si>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</si>
  <si>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</si>
  <si>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</si>
  <si>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</si>
  <si>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</si>
  <si>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</si>
  <si>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</si>
  <si>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</si>
  <si>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</si>
  <si>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</si>
  <si>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</si>
  <si>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</si>
  <si>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</si>
  <si>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</si>
  <si>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</si>
  <si>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</si>
  <si>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</si>
  <si>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</si>
  <si>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</si>
  <si>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</si>
  <si>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</si>
  <si>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</si>
  <si>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</si>
  <si>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</si>
  <si>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</si>
  <si>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</si>
  <si>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</si>
  <si>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</si>
  <si>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</si>
  <si>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</si>
  <si>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</si>
  <si>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</si>
  <si>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</si>
  <si>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</si>
  <si>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</si>
  <si>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</si>
  <si>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</si>
  <si>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</si>
  <si>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</si>
  <si>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</si>
  <si>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</si>
  <si>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</si>
  <si>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</si>
  <si>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</si>
  <si>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</si>
  <si>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</si>
  <si>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</si>
  <si>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</si>
  <si>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</si>
  <si>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</si>
  <si>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</si>
  <si>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</si>
  <si>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</si>
  <si>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</si>
  <si>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</si>
  <si>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</si>
  <si>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</si>
  <si>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</si>
  <si>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</si>
  <si>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</si>
  <si>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</si>
  <si>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</si>
  <si>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</si>
  <si>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</si>
  <si>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</si>
  <si>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</si>
  <si>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</si>
  <si>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</si>
  <si>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</si>
  <si>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</si>
  <si>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</si>
  <si>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</si>
  <si>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</si>
  <si>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</si>
  <si>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</si>
  <si>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</si>
  <si>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</si>
  <si>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</si>
  <si>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</si>
  <si>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</si>
  <si>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</si>
  <si>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</si>
  <si>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</si>
  <si>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</si>
  <si>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</si>
  <si>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</si>
  <si>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</si>
  <si>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</si>
  <si>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</si>
  <si>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</si>
  <si>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</si>
  <si>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</si>
  <si>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</si>
  <si>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</si>
  <si>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</si>
  <si>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</si>
  <si>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</si>
  <si>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</si>
  <si>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</si>
  <si>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</si>
  <si>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</si>
  <si>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</si>
  <si>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</si>
  <si>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</si>
  <si>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</si>
  <si>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</si>
  <si>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</si>
  <si>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</si>
  <si>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</si>
  <si>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</si>
  <si>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</si>
  <si>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</si>
  <si>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</si>
  <si>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</si>
  <si>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</si>
  <si>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</si>
  <si>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</si>
  <si>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</si>
  <si>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</si>
  <si>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</si>
  <si>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</si>
  <si>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</si>
  <si>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</si>
  <si>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</si>
  <si>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</si>
  <si>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</si>
  <si>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</si>
  <si>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</si>
  <si>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</si>
  <si>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</si>
  <si>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</si>
  <si>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</si>
  <si>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</si>
  <si>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</si>
  <si>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</si>
  <si>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</si>
  <si>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</si>
  <si>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</si>
  <si>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</si>
  <si>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</si>
  <si>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</si>
  <si>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</si>
  <si>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</si>
  <si>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</si>
  <si>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</si>
  <si>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</si>
  <si>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</si>
  <si>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</si>
  <si>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</si>
  <si>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</si>
  <si>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</si>
  <si>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</si>
  <si>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</si>
  <si>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</si>
  <si>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</si>
  <si>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</si>
  <si>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</si>
  <si>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</si>
  <si>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</si>
  <si>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</si>
  <si>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</si>
  <si>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</si>
  <si>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</si>
  <si>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</si>
  <si>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</si>
  <si>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</si>
  <si>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</si>
  <si>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</si>
  <si>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</si>
  <si>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</si>
  <si>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</si>
  <si>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</si>
  <si>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</si>
  <si>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</si>
  <si>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</si>
  <si>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</si>
  <si>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</si>
  <si>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</si>
  <si>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</si>
  <si>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</si>
  <si>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</si>
  <si>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</si>
  <si>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</si>
  <si>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</si>
  <si>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</si>
  <si>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</si>
  <si>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</si>
  <si>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</si>
  <si>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</si>
  <si>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</si>
  <si>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</si>
  <si>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</si>
  <si>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</si>
  <si>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</si>
  <si>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</si>
  <si>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</si>
  <si>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</si>
  <si>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</si>
  <si>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</si>
  <si>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</si>
  <si>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</si>
  <si>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</si>
  <si>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</si>
  <si>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</si>
  <si>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</si>
  <si>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</si>
  <si>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</si>
  <si>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</si>
  <si>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</si>
  <si>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</si>
  <si>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</si>
  <si>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</si>
  <si>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</si>
  <si>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</si>
  <si>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</si>
  <si>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</si>
  <si>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</si>
  <si>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</si>
  <si>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</si>
  <si>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</si>
  <si>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</si>
  <si>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</si>
  <si>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</si>
  <si>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</si>
  <si>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</si>
  <si>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</si>
  <si>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</si>
  <si>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</si>
  <si>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</si>
  <si>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</si>
  <si>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</si>
  <si>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</si>
  <si>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</si>
  <si>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</si>
  <si>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</si>
  <si>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</si>
  <si>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</si>
  <si>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</si>
  <si>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</si>
  <si>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</si>
  <si>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</si>
  <si>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</si>
  <si>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</si>
  <si>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</si>
  <si>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</si>
  <si>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</si>
  <si>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</si>
  <si>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</si>
  <si>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</si>
  <si>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</si>
  <si>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</si>
  <si>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</si>
  <si>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</si>
  <si>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</si>
  <si>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</si>
  <si>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</si>
  <si>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</si>
  <si>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</si>
  <si>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</si>
  <si>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</si>
  <si>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</si>
  <si>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</si>
  <si>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</si>
  <si>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</si>
  <si>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</si>
  <si>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</si>
  <si>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</si>
  <si>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</si>
  <si>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</si>
  <si>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</si>
  <si>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</si>
  <si>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</si>
  <si>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</si>
  <si>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</si>
  <si>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</si>
  <si>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</si>
  <si>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</si>
  <si>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</si>
  <si>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</si>
  <si>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</si>
  <si>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</si>
  <si>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</si>
  <si>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</si>
  <si>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</si>
  <si>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</si>
  <si>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</si>
  <si>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</si>
  <si>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</si>
  <si>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</si>
  <si>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</si>
  <si>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</si>
  <si>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</si>
  <si>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</si>
  <si>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</si>
  <si>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</si>
  <si>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</si>
  <si>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</si>
  <si>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</si>
  <si>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</si>
  <si>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</si>
  <si>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</si>
  <si>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</si>
  <si>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</si>
  <si>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</si>
  <si>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</si>
  <si>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</si>
  <si>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</si>
  <si>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</si>
  <si>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</si>
  <si>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</si>
  <si>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</si>
  <si>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</si>
  <si>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</si>
  <si>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</si>
  <si>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</si>
  <si>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</si>
  <si>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</si>
  <si>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</si>
  <si>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</si>
  <si>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</si>
  <si>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</si>
  <si>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</si>
  <si>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</si>
  <si>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</si>
  <si>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</si>
  <si>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</si>
  <si>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</si>
  <si>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</si>
  <si>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</si>
  <si>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</si>
  <si>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</si>
  <si>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</si>
  <si>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</si>
  <si>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</si>
  <si>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</si>
  <si>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</si>
  <si>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</si>
  <si>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</si>
  <si>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</si>
  <si>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</si>
  <si>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</si>
  <si>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</si>
  <si>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</si>
  <si>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</si>
  <si>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</si>
  <si>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</si>
  <si>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</si>
  <si>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</si>
  <si>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</si>
  <si>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</si>
  <si>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</si>
  <si>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</si>
  <si>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</si>
  <si>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</si>
  <si>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</si>
  <si>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</si>
  <si>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</si>
  <si>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</si>
  <si>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</si>
  <si>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</si>
  <si>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</si>
  <si>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</si>
  <si>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</si>
  <si>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</si>
  <si>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</si>
  <si>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</si>
  <si>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</si>
  <si>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</si>
  <si>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</si>
  <si>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</si>
  <si>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</si>
  <si>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</si>
  <si>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</si>
  <si>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</si>
  <si>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</si>
  <si>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</si>
  <si>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</si>
  <si>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</si>
  <si>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</si>
  <si>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</si>
  <si>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</si>
  <si>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</si>
  <si>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</si>
  <si>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</si>
  <si>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</si>
  <si>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</si>
  <si>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</si>
  <si>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</si>
  <si>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</si>
  <si>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</si>
  <si>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</si>
  <si>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</si>
  <si>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</si>
  <si>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</si>
  <si>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</si>
  <si>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</si>
  <si>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</si>
  <si>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</si>
  <si>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</si>
  <si>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</si>
  <si>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</si>
  <si>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</si>
  <si>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</si>
  <si>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</si>
  <si>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</si>
  <si>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</si>
  <si>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</si>
  <si>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</si>
  <si>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</si>
  <si>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</si>
  <si>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</si>
  <si>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</si>
  <si>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</si>
  <si>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</si>
  <si>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</si>
  <si>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</si>
  <si>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</si>
  <si>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</si>
  <si>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</si>
  <si>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</si>
  <si>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</si>
  <si>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</si>
  <si>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</si>
  <si>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</si>
  <si>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</si>
  <si>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</si>
  <si>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</si>
  <si>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</si>
  <si>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</si>
  <si>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</si>
  <si>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</si>
  <si>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</si>
  <si>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</si>
  <si>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</si>
  <si>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</si>
  <si>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</si>
  <si>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</si>
  <si>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</si>
  <si>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</si>
  <si>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</si>
  <si>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</si>
  <si>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</si>
  <si>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</si>
  <si>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</si>
  <si>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</si>
  <si>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</si>
  <si>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</si>
  <si>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</si>
  <si>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</si>
  <si>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</si>
  <si>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</si>
  <si>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</si>
  <si>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</si>
  <si>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</si>
  <si>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</si>
  <si>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</si>
  <si>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</si>
  <si>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</si>
  <si>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</si>
  <si>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</si>
  <si>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</si>
  <si>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</si>
  <si>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</si>
  <si>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</si>
  <si>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</si>
  <si>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</si>
  <si>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</si>
  <si>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</si>
  <si>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</si>
  <si>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</si>
  <si>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</si>
  <si>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</si>
  <si>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</si>
  <si>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</si>
  <si>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</si>
  <si>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</si>
  <si>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</si>
  <si>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</si>
  <si>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</si>
  <si>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</si>
  <si>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</si>
  <si>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</si>
  <si>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</si>
  <si>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</si>
  <si>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</si>
  <si>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</si>
  <si>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</si>
  <si>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</si>
  <si>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</si>
  <si>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</si>
  <si>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</si>
  <si>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</si>
  <si>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</si>
  <si>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</si>
  <si>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</si>
  <si>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</si>
  <si>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</si>
  <si>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</si>
  <si>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</si>
  <si>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</si>
  <si>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</si>
  <si>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</si>
  <si>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</si>
  <si>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</si>
  <si>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</si>
  <si>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</si>
  <si>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</si>
  <si>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</si>
  <si>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</si>
  <si>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</si>
  <si>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</si>
  <si>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</si>
  <si>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</si>
  <si>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</si>
  <si>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</si>
  <si>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</si>
  <si>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</si>
  <si>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</si>
  <si>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</si>
  <si>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</si>
  <si>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</si>
  <si>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</si>
  <si>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</si>
  <si>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</si>
  <si>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</si>
  <si>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</si>
  <si>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</si>
  <si>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</si>
  <si>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</si>
  <si>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</si>
  <si>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</si>
  <si>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</si>
  <si>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</si>
  <si>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</si>
  <si>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</si>
  <si>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</si>
  <si>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</si>
  <si>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</si>
  <si>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</si>
  <si>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</si>
  <si>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</si>
  <si>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</si>
  <si>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</si>
  <si>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</si>
  <si>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</si>
  <si>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</si>
  <si>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</si>
  <si>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</si>
  <si>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</si>
  <si>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</si>
  <si>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</si>
  <si>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</si>
  <si>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</si>
  <si>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</si>
  <si>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</si>
  <si>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</si>
  <si>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</si>
  <si>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</si>
  <si>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</si>
  <si>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</si>
  <si>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</si>
  <si>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</si>
  <si>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</si>
  <si>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</si>
  <si>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</si>
  <si>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</si>
  <si>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</si>
  <si>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</si>
  <si>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</si>
  <si>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</si>
  <si>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</si>
  <si>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</si>
  <si>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</si>
  <si>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</si>
  <si>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</si>
  <si>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</si>
  <si>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</si>
  <si>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</si>
  <si>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</si>
  <si>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</si>
  <si>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</si>
  <si>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</si>
  <si>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</si>
  <si>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</si>
  <si>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</si>
  <si>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</si>
  <si>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</si>
  <si>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</si>
  <si>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</si>
  <si>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</si>
  <si>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</si>
  <si>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</si>
  <si>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</si>
  <si>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</si>
  <si>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</si>
  <si>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</si>
  <si>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</si>
  <si>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</si>
  <si>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</si>
  <si>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</si>
  <si>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</si>
  <si>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</si>
  <si>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</si>
  <si>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</si>
  <si>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</si>
  <si>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</si>
  <si>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</si>
  <si>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</si>
  <si>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</si>
  <si>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</si>
  <si>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</si>
  <si>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</si>
  <si>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</si>
  <si>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</si>
  <si>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</si>
  <si>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</si>
  <si>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</si>
  <si>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</si>
  <si>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</si>
  <si>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</si>
  <si>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</si>
  <si>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</si>
  <si>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</si>
  <si>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</si>
  <si>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</si>
  <si>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</si>
  <si>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</si>
  <si>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</si>
  <si>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</si>
  <si>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</si>
  <si>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</si>
  <si>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</si>
  <si>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</si>
  <si>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</si>
  <si>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</si>
  <si>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</si>
  <si>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</si>
  <si>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</si>
  <si>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</si>
  <si>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</si>
  <si>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</si>
  <si>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</si>
  <si>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</si>
  <si>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</si>
  <si>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</si>
  <si>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</si>
  <si>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</si>
  <si>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</si>
  <si>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</si>
  <si>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</si>
  <si>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</si>
  <si>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</si>
  <si>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</si>
  <si>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</si>
  <si>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</si>
  <si>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</si>
  <si>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</si>
  <si>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</si>
  <si>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</si>
  <si>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</si>
  <si>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</si>
  <si>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</si>
  <si>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</si>
  <si>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</si>
  <si>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</si>
  <si>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</si>
  <si>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</si>
  <si>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</si>
  <si>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</si>
  <si>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</si>
  <si>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</si>
  <si>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</si>
  <si>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</si>
  <si>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</si>
  <si>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</si>
  <si>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</si>
  <si>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</si>
  <si>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</si>
  <si>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</si>
  <si>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</si>
  <si>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</si>
  <si>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</si>
  <si>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</si>
  <si>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</si>
  <si>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</si>
  <si>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</si>
  <si>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</si>
  <si>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</si>
  <si>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</si>
  <si>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</si>
  <si>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</si>
  <si>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</si>
  <si>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</si>
  <si>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</si>
  <si>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</si>
  <si>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</si>
  <si>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</si>
  <si>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</si>
  <si>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</si>
  <si>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</si>
  <si>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</si>
  <si>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</si>
  <si>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</si>
  <si>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</si>
  <si>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</si>
  <si>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</si>
  <si>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</si>
  <si>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</si>
  <si>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</si>
  <si>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</si>
  <si>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</si>
  <si>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</si>
  <si>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</si>
  <si>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</si>
  <si>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</si>
  <si>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</si>
  <si>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</si>
  <si>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</si>
  <si>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</si>
  <si>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</si>
  <si>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</si>
  <si>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</si>
  <si>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</si>
  <si>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</si>
  <si>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</si>
  <si>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</si>
  <si>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</si>
  <si>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</si>
  <si>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</si>
  <si>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</si>
  <si>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</si>
  <si>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</si>
  <si>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</si>
  <si>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</si>
  <si>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</si>
  <si>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</si>
  <si>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</si>
  <si>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</si>
  <si>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</si>
  <si>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</si>
  <si>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</si>
  <si>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</si>
  <si>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</si>
  <si>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</si>
  <si>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</si>
  <si>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</si>
  <si>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</si>
  <si>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</si>
  <si>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</si>
  <si>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</si>
  <si>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</si>
  <si>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</si>
  <si>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</si>
  <si>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</si>
  <si>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</si>
  <si>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</si>
  <si>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</si>
  <si>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</si>
  <si>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</si>
  <si>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</si>
  <si>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</si>
  <si>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</si>
  <si>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</si>
  <si>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</si>
  <si>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</si>
  <si>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</si>
  <si>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</si>
  <si>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</si>
  <si>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</si>
  <si>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</si>
  <si>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</si>
  <si>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</si>
  <si>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</si>
  <si>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</si>
  <si>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</si>
  <si>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</si>
  <si>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</si>
  <si>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</si>
  <si>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</si>
  <si>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</si>
  <si>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</si>
  <si>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</si>
  <si>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</si>
  <si>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</si>
  <si>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</si>
  <si>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</si>
  <si>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</si>
  <si>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</si>
  <si>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</si>
  <si>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</si>
  <si>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</si>
  <si>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</si>
  <si>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</si>
  <si>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</si>
  <si>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</si>
  <si>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</si>
  <si>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</si>
  <si>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</si>
  <si>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</si>
  <si>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</si>
  <si>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</si>
  <si>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</si>
  <si>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</si>
  <si>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</si>
  <si>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</si>
  <si>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</si>
  <si>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</si>
  <si>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</si>
  <si>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</si>
  <si>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</si>
  <si>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</si>
  <si>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</si>
  <si>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</si>
  <si>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</si>
  <si>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</si>
  <si>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</si>
  <si>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</si>
  <si>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</si>
  <si>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</si>
  <si>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</si>
  <si>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</si>
  <si>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</si>
  <si>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</si>
  <si>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</si>
  <si>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</si>
  <si>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</si>
  <si>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</si>
  <si>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</si>
  <si>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</si>
  <si>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</si>
  <si>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</si>
  <si>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</si>
  <si>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</si>
  <si>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</si>
  <si>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</si>
  <si>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</si>
  <si>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</si>
  <si>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</si>
  <si>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</si>
  <si>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</si>
  <si>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</si>
  <si>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</si>
  <si>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</si>
  <si>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</si>
  <si>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</si>
  <si>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</si>
  <si>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</si>
  <si>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</si>
  <si>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</si>
  <si>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</si>
  <si>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</si>
  <si>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</si>
  <si>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</si>
  <si>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</si>
  <si>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</si>
  <si>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</si>
  <si>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</si>
  <si>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</si>
  <si>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</si>
  <si>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</si>
  <si>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</si>
  <si>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</si>
  <si>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</si>
  <si>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</si>
  <si>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</si>
  <si>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</si>
  <si>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</si>
  <si>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</si>
  <si>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</si>
  <si>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</si>
  <si>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</si>
  <si>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</si>
  <si>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</si>
  <si>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</si>
  <si>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</si>
  <si>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</si>
  <si>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</si>
  <si>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</si>
  <si>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</si>
  <si>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</si>
  <si>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</si>
  <si>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</si>
  <si>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</si>
  <si>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</si>
  <si>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</si>
  <si>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</si>
  <si>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</si>
  <si>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</si>
  <si>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</si>
  <si>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</si>
  <si>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</si>
  <si>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</si>
  <si>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</si>
  <si>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</si>
  <si>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</si>
  <si>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</si>
  <si>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</si>
  <si>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</si>
  <si>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</si>
  <si>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</si>
  <si>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</si>
  <si>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</si>
  <si>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</si>
  <si>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</si>
  <si>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</si>
  <si>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</si>
  <si>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</si>
  <si>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</si>
  <si>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</si>
  <si>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</si>
  <si>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</si>
  <si>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</si>
  <si>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</si>
  <si>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</si>
  <si>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</si>
  <si>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</si>
  <si>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</si>
  <si>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</si>
  <si>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</si>
  <si>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</si>
  <si>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</si>
  <si>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</si>
  <si>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</si>
  <si>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</si>
  <si>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</si>
  <si>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</si>
  <si>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</si>
  <si>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</si>
  <si>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</si>
  <si>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</si>
  <si>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</si>
  <si>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</si>
  <si>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</si>
  <si>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</si>
  <si>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</si>
  <si>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</si>
  <si>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</si>
  <si>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</si>
  <si>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</si>
  <si>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</si>
  <si>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</si>
  <si>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</si>
  <si>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</si>
  <si>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</si>
  <si>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</si>
  <si>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</si>
  <si>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</si>
  <si>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</si>
  <si>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</si>
  <si>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</si>
  <si>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</si>
  <si>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</si>
  <si>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</si>
  <si>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</si>
  <si>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</si>
  <si>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</si>
  <si>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</si>
  <si>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</si>
  <si>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</si>
  <si>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</si>
  <si>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</si>
  <si>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</si>
  <si>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</si>
  <si>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</si>
  <si>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</si>
  <si>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</si>
  <si>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</si>
  <si>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</si>
  <si>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</si>
  <si>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</si>
  <si>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</si>
  <si>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</si>
  <si>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</si>
  <si>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</si>
  <si>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</si>
  <si>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</si>
  <si>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</si>
  <si>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</si>
  <si>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</si>
  <si>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</si>
  <si>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</si>
  <si>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</si>
  <si>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</si>
  <si>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</si>
  <si>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</si>
  <si>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</si>
  <si>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</si>
  <si>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</si>
  <si>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</si>
  <si>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</si>
  <si>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</si>
  <si>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</si>
  <si>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</si>
  <si>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</si>
  <si>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</si>
  <si>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</si>
  <si>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</si>
  <si>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</si>
  <si>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</si>
  <si>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</si>
  <si>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</si>
  <si>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</si>
  <si>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</si>
  <si>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</si>
  <si>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</si>
  <si>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</si>
  <si>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</si>
  <si>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</si>
  <si>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</si>
  <si>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</si>
  <si>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</si>
  <si>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</si>
  <si>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</si>
  <si>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</si>
  <si>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</si>
  <si>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</si>
  <si>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</si>
  <si>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</si>
  <si>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</si>
  <si>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</si>
  <si>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</si>
  <si>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</si>
  <si>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</si>
  <si>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</si>
  <si>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</si>
  <si>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</si>
  <si>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</si>
  <si>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</si>
  <si>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</si>
  <si>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</si>
  <si>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</si>
  <si>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</si>
  <si>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</si>
  <si>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</si>
  <si>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</si>
  <si>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</si>
  <si>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</si>
  <si>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</si>
  <si>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</si>
  <si>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</si>
  <si>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</si>
  <si>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</si>
  <si>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</si>
  <si>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</si>
  <si>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</si>
  <si>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</si>
  <si>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</si>
  <si>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</si>
  <si>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</si>
  <si>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</si>
  <si>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</si>
  <si>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</si>
  <si>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</si>
  <si>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</si>
  <si>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</si>
  <si>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</si>
  <si>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</si>
  <si>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</si>
  <si>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</si>
  <si>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</si>
  <si>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</si>
  <si>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</si>
  <si>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</si>
  <si>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</si>
  <si>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</si>
  <si>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</si>
  <si>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</si>
  <si>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</si>
  <si>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</si>
  <si>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</si>
  <si>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</si>
  <si>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</si>
  <si>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</si>
  <si>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</si>
  <si>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</si>
  <si>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</si>
  <si>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</si>
  <si>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</si>
  <si>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</si>
  <si>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</si>
  <si>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</si>
  <si>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</si>
  <si>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</si>
  <si>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</si>
  <si>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</si>
  <si>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</si>
  <si>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</si>
  <si>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</si>
  <si>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</si>
  <si>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</si>
  <si>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</si>
  <si>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</si>
  <si>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</si>
  <si>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</si>
  <si>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</si>
  <si>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</si>
  <si>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</si>
  <si>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</si>
  <si>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</si>
  <si>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</si>
  <si>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</si>
  <si>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</si>
  <si>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</si>
  <si>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</si>
  <si>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</si>
  <si>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</si>
  <si>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</si>
  <si>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</si>
  <si>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</si>
  <si>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</si>
  <si>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</si>
  <si>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</si>
  <si>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</si>
  <si>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</si>
  <si>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</si>
  <si>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</si>
  <si>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</si>
  <si>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</si>
  <si>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</si>
  <si>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</si>
  <si>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</si>
  <si>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</si>
  <si>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</si>
  <si>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</si>
  <si>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</si>
  <si>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</si>
  <si>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</si>
  <si>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</si>
  <si>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</si>
  <si>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</si>
  <si>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</si>
  <si>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</si>
  <si>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</si>
  <si>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</si>
  <si>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</si>
  <si>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</si>
  <si>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</si>
  <si>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</si>
  <si>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</si>
  <si>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</si>
  <si>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</si>
  <si>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</si>
  <si>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</si>
  <si>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</si>
  <si>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</si>
  <si>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</si>
  <si>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</si>
  <si>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</si>
  <si>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</si>
  <si>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</si>
  <si>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</si>
  <si>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</si>
  <si>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</si>
  <si>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</si>
  <si>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</si>
  <si>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</si>
  <si>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</si>
  <si>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</si>
  <si>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</si>
  <si>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</si>
  <si>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</si>
  <si>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</si>
  <si>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</si>
  <si>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</si>
  <si>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</si>
  <si>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</si>
  <si>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</si>
  <si>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</si>
  <si>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</si>
  <si>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</si>
  <si>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</si>
  <si>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</si>
  <si>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</si>
  <si>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</si>
  <si>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</si>
  <si>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</si>
  <si>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</si>
  <si>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</si>
  <si>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</si>
  <si>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</si>
  <si>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</si>
  <si>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</si>
  <si>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</si>
  <si>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</si>
  <si>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</si>
  <si>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</si>
  <si>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</si>
  <si>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</si>
  <si>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</si>
  <si>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</si>
  <si>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</si>
  <si>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</si>
  <si>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</si>
  <si>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</si>
  <si>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</si>
  <si>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</si>
  <si>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</si>
  <si>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</si>
  <si>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</si>
  <si>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</si>
  <si>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</si>
  <si>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</si>
  <si>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</si>
  <si>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</si>
  <si>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</si>
  <si>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</si>
  <si>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</si>
  <si>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</si>
  <si>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</si>
  <si>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</si>
  <si>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</si>
  <si>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</si>
  <si>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</si>
  <si>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</si>
  <si>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</si>
  <si>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</si>
  <si>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</si>
  <si>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</si>
  <si>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</si>
  <si>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</si>
  <si>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</si>
  <si>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</si>
  <si>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</si>
  <si>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</si>
  <si>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</si>
  <si>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</si>
  <si>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</si>
  <si>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</si>
  <si>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</si>
  <si>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</si>
  <si>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</si>
  <si>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</si>
  <si>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</si>
  <si>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</si>
  <si>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</si>
  <si>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</si>
  <si>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</si>
  <si>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</si>
  <si>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</si>
  <si>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</si>
  <si>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</si>
  <si>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</si>
  <si>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</si>
  <si>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</si>
  <si>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</si>
  <si>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</si>
  <si>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</si>
  <si>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</si>
  <si>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</si>
  <si>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</si>
  <si>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</si>
  <si>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</si>
  <si>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</si>
  <si>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</si>
  <si>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</si>
  <si>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</si>
  <si>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</si>
  <si>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</si>
  <si>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</si>
  <si>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</si>
  <si>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</si>
  <si>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</si>
  <si>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</si>
  <si>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</si>
  <si>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</si>
  <si>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</si>
  <si>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</si>
  <si>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</si>
  <si>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</si>
  <si>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</si>
  <si>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</si>
  <si>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</si>
  <si>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</si>
  <si>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</si>
  <si>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</si>
  <si>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</si>
  <si>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</si>
  <si>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</si>
  <si>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</si>
  <si>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</si>
  <si>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</si>
  <si>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</si>
  <si>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</si>
  <si>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</si>
  <si>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</si>
  <si>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</si>
  <si>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</si>
  <si>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</si>
  <si>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</si>
  <si>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</si>
  <si>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</si>
  <si>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</si>
  <si>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</si>
  <si>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</si>
  <si>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</si>
  <si>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</si>
  <si>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</si>
  <si>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</si>
  <si>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</si>
  <si>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</si>
  <si>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</si>
  <si>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</si>
  <si>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</si>
  <si>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</si>
  <si>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</si>
  <si>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</si>
  <si>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</si>
  <si>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</si>
  <si>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</si>
  <si>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</si>
  <si>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</si>
  <si>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</si>
  <si>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</si>
  <si>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</si>
  <si>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</si>
  <si>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</si>
  <si>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</si>
  <si>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</si>
  <si>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</si>
  <si>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</si>
  <si>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</si>
  <si>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</si>
  <si>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</si>
  <si>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</si>
  <si>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</si>
  <si>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</si>
  <si>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</si>
  <si>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</si>
  <si>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</si>
  <si>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</si>
  <si>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</si>
  <si>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</si>
  <si>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</si>
  <si>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</si>
  <si>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</si>
  <si>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</si>
  <si>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</si>
  <si>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</si>
  <si>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</si>
  <si>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</si>
  <si>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</si>
  <si>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</si>
  <si>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</si>
  <si>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</si>
  <si>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</si>
  <si>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</si>
  <si>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</si>
  <si>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</si>
  <si>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</si>
  <si>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</si>
  <si>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</si>
  <si>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</si>
  <si>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</si>
  <si>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</si>
  <si>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</si>
  <si>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</si>
  <si>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</si>
  <si>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</si>
  <si>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</si>
  <si>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</si>
  <si>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</si>
  <si>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</si>
  <si>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</si>
  <si>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</si>
  <si>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</si>
  <si>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</si>
  <si>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</si>
  <si>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</si>
  <si>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</si>
  <si>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</si>
  <si>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</si>
  <si>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</si>
  <si>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</si>
  <si>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</si>
  <si>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</si>
  <si>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</si>
  <si>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</si>
  <si>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</si>
  <si>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</si>
  <si>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</si>
  <si>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</si>
  <si>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</si>
  <si>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</si>
  <si>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</si>
  <si>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</si>
  <si>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</si>
  <si>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</si>
  <si>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</si>
  <si>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</si>
  <si>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</si>
  <si>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</si>
  <si>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</si>
  <si>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</si>
  <si>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</si>
  <si>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</si>
  <si>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</si>
  <si>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</si>
  <si>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</si>
  <si>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</si>
  <si>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</si>
  <si>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</si>
  <si>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</si>
  <si>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</si>
  <si>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</si>
  <si>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</si>
  <si>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</si>
  <si>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</si>
  <si>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</si>
  <si>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</si>
  <si>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</si>
  <si>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</si>
  <si>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</si>
  <si>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</si>
  <si>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</si>
  <si>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</si>
  <si>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</si>
  <si>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</si>
  <si>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</si>
  <si>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</si>
  <si>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</si>
  <si>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</si>
  <si>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</si>
  <si>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</si>
  <si>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</si>
  <si>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</si>
  <si>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</si>
  <si>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</si>
  <si>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</si>
  <si>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</si>
  <si>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</si>
  <si>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</si>
  <si>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</si>
  <si>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</si>
  <si>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</si>
  <si>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</si>
  <si>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</si>
  <si>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</si>
  <si>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</si>
  <si>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</si>
  <si>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</si>
  <si>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</si>
  <si>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</si>
  <si>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</si>
  <si>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</si>
  <si>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</si>
  <si>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</si>
  <si>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</si>
  <si>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</si>
  <si>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</si>
  <si>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</si>
  <si>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</si>
  <si>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</si>
  <si>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</si>
  <si>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</si>
  <si>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</si>
  <si>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</si>
  <si>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</si>
  <si>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</si>
  <si>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</si>
  <si>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</si>
  <si>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</si>
  <si>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</si>
  <si>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</si>
  <si>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</si>
  <si>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</si>
  <si>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</si>
  <si>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</si>
  <si>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</si>
  <si>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</si>
  <si>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</si>
  <si>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</si>
  <si>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</si>
  <si>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</si>
  <si>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</si>
  <si>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</si>
  <si>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</si>
  <si>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</si>
  <si>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</si>
  <si>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</si>
  <si>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</si>
  <si>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</si>
  <si>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</si>
  <si>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</si>
  <si>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</si>
  <si>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</si>
  <si>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</si>
  <si>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</si>
  <si>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</si>
  <si>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</si>
  <si>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</si>
  <si>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</si>
  <si>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</si>
  <si>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</si>
  <si>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</si>
  <si>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</si>
  <si>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</si>
  <si>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</si>
  <si>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</si>
  <si>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</si>
  <si>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</si>
  <si>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</si>
  <si>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</si>
  <si>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</si>
  <si>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</si>
  <si>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</si>
  <si>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</si>
  <si>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</si>
  <si>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</si>
  <si>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</si>
  <si>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</si>
  <si>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</si>
  <si>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</si>
  <si>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</si>
  <si>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</si>
  <si>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</si>
  <si>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</si>
  <si>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</si>
  <si>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</si>
  <si>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</si>
  <si>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</si>
  <si>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</si>
  <si>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</si>
  <si>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</si>
  <si>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</si>
  <si>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</si>
  <si>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</si>
  <si>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</si>
  <si>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</si>
  <si>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</si>
  <si>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</si>
  <si>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</si>
  <si>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</si>
  <si>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</si>
  <si>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</si>
  <si>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</si>
  <si>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</si>
  <si>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</si>
  <si>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</si>
  <si>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</si>
  <si>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</si>
  <si>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</si>
  <si>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</si>
  <si>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</si>
  <si>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</si>
  <si>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</si>
  <si>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</si>
  <si>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</si>
  <si>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</si>
  <si>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</si>
  <si>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</si>
  <si>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</si>
  <si>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</si>
  <si>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</si>
  <si>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</si>
  <si>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</si>
  <si>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</si>
  <si>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</si>
  <si>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</si>
  <si>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</si>
  <si>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</si>
  <si>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</si>
  <si>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</si>
  <si>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</si>
  <si>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</si>
  <si>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</si>
  <si>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</si>
  <si>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</si>
  <si>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</si>
  <si>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</si>
  <si>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</si>
  <si>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</si>
  <si>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</si>
  <si>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</si>
  <si>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</si>
  <si>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</si>
  <si>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</si>
  <si>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</si>
  <si>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</si>
  <si>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</si>
  <si>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</si>
  <si>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</si>
  <si>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</si>
  <si>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</si>
  <si>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</si>
  <si>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</si>
  <si>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</si>
  <si>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</si>
  <si>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</si>
  <si>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</si>
  <si>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</si>
  <si>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</si>
  <si>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</si>
  <si>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</si>
  <si>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</si>
  <si>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</si>
  <si>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</si>
  <si>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</si>
  <si>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</si>
  <si>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</si>
  <si>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</si>
  <si>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</si>
  <si>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</si>
  <si>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</si>
  <si>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</si>
  <si>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</si>
  <si>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</si>
  <si>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</si>
  <si>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</si>
  <si>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</si>
  <si>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</si>
  <si>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</si>
  <si>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</si>
  <si>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</si>
  <si>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</si>
  <si>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</si>
  <si>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</si>
  <si>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</si>
  <si>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</si>
  <si>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</si>
  <si>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</si>
  <si>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</si>
  <si>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</si>
  <si>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</si>
  <si>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</si>
  <si>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</si>
  <si>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</si>
  <si>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</si>
  <si>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</si>
  <si>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</si>
  <si>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</si>
  <si>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</si>
  <si>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</si>
  <si>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</si>
  <si>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</si>
  <si>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</si>
  <si>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</si>
  <si>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</si>
  <si>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</si>
  <si>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</si>
  <si>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</si>
  <si>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</si>
  <si>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</si>
  <si>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</si>
  <si>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</si>
  <si>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</si>
  <si>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</si>
  <si>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</si>
  <si>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</si>
  <si>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</si>
  <si>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</si>
  <si>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</si>
  <si>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</si>
  <si>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</si>
  <si>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</si>
  <si>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</si>
  <si>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</si>
  <si>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</si>
  <si>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</si>
  <si>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</si>
  <si>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</si>
  <si>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</si>
  <si>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</si>
  <si>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</si>
  <si>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</si>
  <si>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</si>
  <si>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</si>
  <si>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</si>
  <si>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</si>
  <si>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</si>
  <si>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</si>
  <si>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</si>
  <si>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</si>
  <si>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</si>
  <si>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</si>
  <si>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</si>
  <si>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</si>
  <si>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</si>
  <si>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</si>
  <si>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</si>
  <si>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</si>
  <si>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</si>
  <si>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</si>
  <si>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</si>
  <si>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</si>
  <si>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</si>
  <si>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</si>
  <si>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</si>
  <si>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</si>
  <si>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</si>
  <si>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</si>
  <si>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</si>
  <si>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</si>
  <si>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</si>
  <si>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</si>
  <si>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</si>
  <si>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</si>
  <si>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</si>
  <si>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</si>
  <si>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</si>
  <si>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</si>
  <si>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</si>
  <si>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</si>
  <si>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</si>
  <si>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</si>
  <si>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</si>
  <si>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</si>
  <si>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</si>
  <si>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</si>
  <si>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</si>
  <si>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</si>
  <si>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</si>
  <si>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</si>
  <si>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</si>
  <si>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</si>
  <si>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</si>
  <si>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</si>
  <si>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</si>
  <si>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</si>
  <si>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</si>
  <si>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</si>
  <si>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</si>
  <si>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</si>
  <si>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</si>
  <si>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</si>
  <si>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</si>
  <si>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</si>
  <si>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</si>
  <si>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</si>
  <si>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</si>
  <si>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</si>
  <si>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</si>
  <si>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</si>
  <si>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</si>
  <si>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</si>
  <si>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</si>
  <si>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</si>
  <si>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</si>
  <si>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</si>
  <si>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</si>
  <si>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</si>
  <si>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</si>
  <si>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</si>
  <si>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</si>
  <si>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</si>
  <si>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</si>
  <si>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</si>
  <si>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</si>
  <si>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</si>
  <si>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</si>
  <si>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</si>
  <si>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</si>
  <si>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</si>
  <si>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</si>
  <si>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</si>
  <si>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</si>
  <si>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</si>
  <si>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</si>
  <si>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</si>
  <si>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</si>
  <si>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</si>
  <si>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</si>
  <si>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</si>
  <si>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</si>
  <si>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</si>
  <si>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</si>
  <si>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</si>
  <si>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</si>
  <si>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</si>
  <si>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</si>
  <si>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</si>
  <si>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</si>
  <si>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</si>
  <si>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</si>
  <si>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</si>
  <si>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</si>
  <si>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</si>
  <si>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</si>
  <si>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</si>
  <si>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</si>
  <si>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</si>
  <si>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</si>
  <si>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</si>
  <si>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</si>
  <si>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</si>
  <si>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</si>
  <si>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</si>
  <si>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</si>
  <si>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</si>
  <si>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</si>
  <si>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</si>
  <si>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</si>
  <si>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</si>
  <si>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</si>
  <si>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</si>
  <si>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</si>
  <si>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</si>
  <si>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</si>
  <si>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</si>
  <si>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</si>
  <si>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</si>
  <si>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</si>
  <si>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</si>
  <si>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</si>
  <si>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</si>
  <si>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</si>
  <si>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</si>
  <si>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</si>
  <si>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</si>
  <si>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</si>
  <si>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</si>
  <si>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</si>
  <si>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</si>
  <si>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</si>
  <si>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</si>
  <si>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</si>
  <si>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</si>
  <si>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</si>
  <si>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</si>
  <si>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</si>
  <si>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</si>
  <si>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</si>
  <si>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</si>
  <si>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</si>
  <si>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</si>
  <si>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</si>
  <si>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</si>
  <si>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</si>
  <si>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</si>
  <si>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</si>
  <si>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</si>
  <si>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</si>
  <si>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</si>
  <si>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</si>
  <si>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</si>
  <si>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</si>
  <si>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</si>
  <si>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</si>
  <si>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</si>
  <si>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</si>
  <si>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</si>
  <si>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</si>
  <si>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</si>
  <si>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</si>
  <si>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</si>
  <si>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</si>
  <si>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</si>
  <si>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</si>
  <si>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</si>
  <si>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</si>
  <si>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</si>
  <si>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</si>
  <si>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</si>
  <si>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</si>
  <si>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</si>
  <si>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</si>
  <si>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</si>
  <si>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</si>
  <si>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</si>
  <si>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</si>
  <si>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</si>
  <si>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</si>
  <si>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</si>
  <si>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</si>
  <si>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</si>
  <si>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</si>
  <si>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</si>
  <si>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</si>
  <si>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</si>
  <si>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</si>
  <si>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</si>
  <si>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</si>
  <si>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</si>
  <si>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</si>
  <si>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</si>
  <si>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</si>
  <si>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</si>
  <si>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</si>
  <si>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</si>
  <si>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</si>
  <si>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</si>
  <si>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</si>
  <si>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</si>
  <si>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</si>
  <si>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</si>
  <si>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</si>
  <si>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</si>
  <si>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</si>
  <si>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</si>
  <si>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</si>
  <si>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</si>
  <si>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</si>
  <si>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</si>
  <si>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</si>
  <si>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</si>
  <si>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</si>
  <si>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</si>
  <si>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</si>
  <si>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</si>
  <si>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</si>
  <si>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</si>
  <si>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</si>
  <si>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</si>
  <si>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</si>
  <si>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</si>
  <si>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</si>
  <si>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</si>
  <si>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</si>
  <si>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</si>
  <si>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</si>
  <si>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</si>
  <si>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</si>
  <si>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</si>
  <si>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</si>
  <si>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</si>
  <si>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</si>
  <si>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</si>
  <si>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</si>
  <si>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</si>
  <si>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</si>
  <si>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</si>
  <si>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</si>
  <si>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</si>
  <si>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</si>
  <si>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</si>
  <si>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</si>
  <si>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</si>
  <si>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</si>
  <si>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</si>
  <si>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</si>
  <si>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</si>
  <si>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</si>
  <si>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</si>
  <si>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</si>
  <si>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</si>
  <si>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</si>
  <si>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</si>
  <si>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</si>
  <si>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</si>
  <si>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</si>
  <si>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</si>
  <si>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</si>
  <si>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</si>
  <si>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</si>
  <si>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</si>
  <si>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</si>
  <si>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</si>
  <si>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</si>
  <si>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</si>
  <si>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</si>
  <si>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</si>
  <si>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</si>
  <si>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</si>
  <si>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</si>
  <si>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</si>
  <si>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</si>
  <si>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</si>
  <si>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</si>
  <si>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</si>
  <si>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</si>
  <si>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</si>
  <si>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</si>
  <si>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</si>
  <si>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</si>
  <si>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</si>
  <si>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</si>
  <si>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</si>
  <si>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</si>
  <si>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</si>
  <si>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</si>
  <si>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</si>
  <si>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</si>
  <si>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</si>
  <si>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</si>
  <si>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</si>
  <si>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</si>
  <si>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</si>
  <si>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</si>
  <si>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</si>
  <si>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</si>
  <si>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</si>
  <si>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</si>
  <si>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</si>
  <si>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</si>
  <si>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</si>
  <si>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</si>
  <si>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</si>
  <si>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</si>
  <si>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</si>
  <si>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</si>
  <si>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</si>
  <si>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</si>
  <si>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</si>
  <si>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</si>
  <si>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</si>
  <si>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</si>
  <si>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</si>
  <si>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</si>
  <si>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</si>
  <si>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</si>
  <si>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</si>
  <si>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</si>
  <si>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</si>
  <si>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</si>
  <si>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</si>
  <si>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</si>
  <si>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</si>
  <si>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</si>
  <si>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</si>
  <si>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</si>
  <si>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</si>
  <si>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</si>
  <si>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</si>
  <si>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</si>
  <si>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</si>
  <si>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</si>
  <si>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</si>
  <si>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</si>
  <si>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</si>
  <si>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</si>
  <si>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</si>
  <si>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</si>
  <si>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</si>
  <si>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</si>
  <si>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</si>
  <si>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</si>
  <si>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</si>
  <si>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</si>
  <si>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</si>
  <si>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</si>
  <si>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</si>
  <si>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</si>
  <si>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</si>
  <si>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</si>
  <si>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</si>
  <si>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</si>
  <si>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</si>
  <si>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</si>
  <si>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</si>
  <si>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</si>
  <si>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</si>
  <si>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</si>
  <si>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</si>
  <si>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</si>
  <si>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</si>
  <si>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</si>
  <si>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</si>
  <si>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</si>
  <si>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</si>
  <si>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</si>
  <si>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</si>
  <si>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</si>
  <si>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</si>
  <si>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</si>
  <si>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</si>
  <si>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</si>
  <si>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</si>
  <si>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</si>
  <si>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</si>
  <si>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</si>
  <si>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</si>
  <si>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</si>
  <si>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</si>
  <si>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</si>
  <si>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</si>
  <si>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</si>
  <si>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</si>
  <si>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</si>
  <si>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</si>
  <si>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</si>
  <si>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</si>
  <si>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</si>
  <si>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</si>
  <si>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</si>
  <si>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</si>
  <si>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</si>
  <si>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</si>
  <si>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</si>
  <si>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</si>
  <si>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</si>
  <si>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</si>
  <si>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</si>
  <si>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</si>
  <si>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</si>
  <si>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</si>
  <si>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</si>
  <si>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</si>
  <si>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</si>
  <si>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</si>
  <si>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</si>
  <si>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</si>
  <si>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</si>
  <si>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</si>
  <si>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</si>
  <si>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</si>
  <si>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</si>
  <si>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</si>
  <si>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</si>
  <si>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</si>
  <si>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</si>
  <si>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</si>
  <si>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</si>
  <si>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</si>
  <si>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</si>
  <si>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</si>
  <si>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</si>
  <si>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</si>
  <si>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</si>
  <si>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</si>
  <si>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</si>
  <si>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</si>
  <si>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</si>
  <si>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</si>
  <si>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</si>
  <si>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</si>
  <si>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</si>
  <si>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</si>
  <si>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</si>
  <si>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</si>
  <si>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</si>
  <si>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</si>
  <si>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</si>
  <si>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</si>
  <si>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</si>
  <si>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</si>
  <si>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</si>
  <si>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</si>
  <si>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</si>
  <si>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</si>
  <si>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</si>
  <si>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</si>
  <si>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</si>
  <si>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</si>
  <si>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</si>
  <si>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</si>
  <si>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</si>
  <si>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</si>
  <si>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</si>
  <si>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</si>
  <si>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</si>
  <si>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</si>
  <si>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</si>
  <si>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</si>
  <si>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</si>
  <si>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</si>
  <si>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</si>
  <si>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</si>
  <si>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</si>
  <si>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</si>
  <si>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</si>
  <si>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</si>
  <si>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</si>
  <si>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</si>
  <si>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</si>
  <si>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</si>
  <si>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</si>
  <si>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</si>
  <si>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</si>
  <si>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</si>
  <si>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</si>
  <si>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</si>
  <si>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</si>
  <si>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</si>
  <si>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</si>
  <si>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</si>
  <si>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</si>
  <si>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</si>
  <si>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</si>
  <si>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</si>
  <si>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</si>
  <si>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</si>
  <si>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</si>
  <si>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</si>
  <si>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</si>
  <si>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</si>
  <si>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</si>
  <si>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</si>
  <si>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</si>
  <si>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</si>
  <si>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</si>
  <si>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</si>
  <si>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</si>
  <si>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</si>
  <si>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</si>
  <si>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</si>
  <si>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</si>
  <si>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</si>
  <si>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</si>
  <si>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</si>
  <si>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</si>
  <si>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</si>
  <si>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</si>
  <si>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</si>
  <si>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</si>
  <si>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</si>
  <si>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</si>
  <si>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</si>
  <si>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</si>
  <si>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</si>
  <si>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</si>
  <si>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</si>
  <si>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</si>
  <si>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</si>
  <si>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</si>
  <si>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</si>
  <si>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</si>
  <si>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</si>
  <si>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</si>
  <si>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</si>
  <si>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</si>
  <si>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</si>
  <si>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</si>
  <si>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</si>
  <si>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</si>
  <si>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</si>
  <si>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</si>
  <si>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</si>
  <si>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</si>
  <si>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</si>
  <si>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</si>
  <si>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</si>
  <si>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</si>
  <si>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</si>
  <si>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</si>
  <si>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</si>
  <si>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</si>
  <si>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</si>
  <si>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</si>
  <si>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</si>
  <si>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</si>
  <si>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</si>
  <si>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</si>
  <si>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</si>
  <si>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</si>
  <si>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</si>
  <si>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</si>
  <si>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</si>
  <si>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</si>
  <si>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</si>
  <si>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</si>
  <si>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</si>
  <si>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</si>
  <si>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</si>
  <si>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</si>
  <si>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</si>
  <si>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</si>
  <si>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</si>
  <si>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</si>
  <si>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</si>
  <si>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</si>
  <si>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</si>
  <si>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</si>
  <si>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</si>
  <si>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</si>
  <si>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</si>
  <si>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</si>
  <si>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</si>
  <si>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</si>
  <si>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</si>
  <si>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</si>
  <si>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</si>
  <si>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</si>
  <si>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</si>
  <si>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</si>
  <si>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</si>
  <si>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</si>
  <si>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</si>
  <si>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</si>
  <si>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</si>
  <si>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</si>
  <si>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</si>
  <si>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</si>
  <si>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</si>
  <si>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</si>
  <si>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</si>
  <si>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</si>
  <si>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</si>
  <si>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</si>
  <si>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</si>
  <si>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</si>
  <si>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</si>
  <si>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</si>
  <si>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</si>
  <si>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</si>
  <si>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</si>
  <si>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</si>
  <si>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</si>
  <si>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</si>
  <si>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</si>
  <si>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</si>
  <si>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</si>
  <si>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</si>
  <si>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</si>
  <si>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</si>
  <si>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</si>
  <si>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</si>
  <si>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</si>
  <si>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</si>
  <si>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</si>
  <si>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</si>
  <si>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</si>
  <si>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</si>
  <si>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</si>
  <si>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</si>
  <si>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</si>
  <si>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</si>
  <si>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</si>
  <si>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</si>
  <si>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</si>
  <si>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</si>
  <si>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</si>
  <si>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</si>
  <si>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</si>
  <si>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</si>
  <si>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</si>
  <si>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</si>
  <si>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</si>
  <si>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</si>
  <si>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</si>
  <si>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</si>
  <si>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</si>
  <si>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</si>
  <si>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</si>
  <si>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</si>
  <si>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</si>
  <si>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</si>
  <si>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</si>
  <si>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</si>
  <si>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</si>
  <si>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</si>
  <si>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</si>
  <si>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</si>
  <si>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</si>
  <si>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</si>
  <si>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</si>
  <si>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</si>
  <si>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</si>
  <si>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</si>
  <si>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</si>
  <si>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</si>
  <si>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</si>
  <si>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</si>
  <si>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</si>
  <si>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</si>
  <si>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</si>
  <si>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</si>
  <si>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</si>
  <si>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</si>
  <si>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</si>
  <si>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</si>
  <si>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</si>
  <si>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</si>
  <si>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</si>
  <si>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</si>
  <si>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</si>
  <si>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</si>
  <si>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</si>
  <si>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</si>
  <si>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</si>
  <si>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</si>
  <si>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</si>
  <si>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</si>
  <si>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</si>
  <si>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</si>
  <si>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</si>
  <si>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</si>
  <si>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</si>
  <si>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</si>
  <si>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</si>
  <si>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</si>
  <si>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</si>
  <si>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</si>
  <si>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</si>
  <si>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</si>
  <si>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</si>
  <si>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</si>
  <si>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</si>
  <si>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</si>
  <si>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</si>
  <si>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</si>
  <si>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</si>
  <si>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</si>
  <si>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</si>
  <si>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</si>
  <si>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</si>
  <si>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</si>
  <si>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</si>
  <si>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</si>
  <si>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</si>
  <si>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</si>
  <si>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</si>
  <si>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</si>
  <si>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</si>
  <si>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</si>
  <si>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</si>
  <si>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</si>
  <si>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</si>
  <si>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</si>
  <si>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</si>
  <si>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</si>
  <si>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</si>
  <si>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</si>
  <si>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</si>
  <si>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</si>
  <si>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</si>
  <si>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</si>
  <si>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</si>
  <si>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</si>
  <si>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</si>
  <si>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</si>
  <si>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</si>
  <si>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</si>
  <si>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</si>
  <si>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</si>
  <si>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</si>
  <si>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</si>
  <si>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</si>
  <si>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</si>
  <si>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</si>
  <si>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</si>
  <si>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</si>
  <si>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</si>
  <si>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</si>
  <si>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</si>
  <si>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</si>
  <si>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</si>
  <si>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</si>
  <si>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</si>
  <si>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</si>
  <si>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</si>
  <si>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</si>
  <si>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</si>
  <si>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</si>
  <si>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</si>
  <si>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</si>
  <si>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</si>
  <si>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</si>
  <si>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</si>
  <si>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</si>
  <si>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</si>
  <si>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</si>
  <si>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</si>
  <si>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</si>
  <si>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</si>
  <si>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</si>
  <si>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</si>
  <si>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</si>
  <si>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</si>
  <si>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</si>
  <si>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</si>
  <si>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</si>
  <si>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</si>
  <si>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</si>
  <si>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</si>
  <si>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</si>
  <si>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</si>
  <si>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</si>
  <si>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</si>
  <si>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</si>
  <si>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</si>
  <si>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</si>
  <si>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</si>
  <si>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</si>
  <si>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</si>
  <si>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</si>
  <si>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</si>
  <si>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</si>
  <si>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</si>
  <si>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</si>
  <si>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</si>
  <si>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</si>
  <si>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</si>
  <si>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</si>
  <si>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</si>
  <si>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</si>
  <si>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</si>
  <si>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</si>
  <si>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</si>
  <si>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</si>
  <si>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</si>
  <si>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</si>
  <si>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</si>
  <si>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</si>
  <si>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</si>
  <si>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</si>
  <si>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</si>
  <si>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</si>
  <si>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</si>
  <si>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</si>
  <si>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</si>
  <si>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</si>
  <si>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</si>
  <si>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</si>
  <si>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</si>
  <si>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</si>
  <si>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</si>
  <si>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</si>
  <si>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</si>
  <si>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</si>
  <si>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</si>
  <si>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</si>
  <si>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</si>
  <si>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</si>
  <si>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</si>
  <si>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</si>
  <si>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</si>
  <si>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</si>
  <si>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</si>
  <si>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</si>
  <si>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</si>
  <si>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</si>
  <si>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</si>
  <si>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</si>
  <si>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</si>
  <si>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</si>
  <si>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</si>
  <si>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</si>
  <si>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</si>
  <si>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</si>
  <si>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</si>
  <si>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</si>
  <si>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</si>
  <si>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</si>
  <si>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</si>
  <si>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</si>
  <si>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</si>
  <si>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</si>
  <si>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</si>
  <si>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</si>
  <si>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</si>
  <si>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</si>
  <si>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</si>
  <si>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</si>
  <si>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</si>
  <si>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</si>
  <si>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</si>
  <si>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</si>
  <si>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</si>
  <si>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</si>
  <si>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</si>
  <si>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</si>
  <si>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</si>
  <si>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</si>
  <si>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</si>
  <si>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</si>
  <si>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</si>
  <si>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</si>
  <si>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</si>
  <si>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</si>
  <si>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</si>
  <si>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</si>
  <si>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</si>
  <si>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</si>
  <si>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</si>
  <si>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</si>
  <si>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</si>
  <si>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</si>
  <si>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</si>
  <si>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</si>
  <si>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</si>
  <si>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</si>
  <si>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</si>
  <si>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</si>
  <si>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</si>
  <si>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</si>
  <si>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</si>
  <si>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</si>
  <si>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</si>
  <si>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</si>
  <si>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</si>
  <si>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</si>
  <si>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</si>
  <si>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</si>
  <si>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</si>
  <si>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</si>
  <si>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</si>
  <si>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</si>
  <si>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</si>
  <si>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</si>
  <si>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</si>
  <si>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</si>
  <si>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</si>
  <si>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</si>
  <si>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</si>
  <si>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</si>
  <si>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</si>
  <si>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</si>
  <si>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</si>
  <si>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</si>
  <si>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</si>
  <si>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</si>
  <si>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</si>
  <si>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</si>
  <si>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</si>
  <si>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</si>
  <si>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</si>
  <si>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</si>
  <si>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</si>
  <si>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</si>
  <si>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</si>
  <si>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</si>
  <si>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</si>
  <si>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</si>
  <si>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</si>
  <si>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</si>
  <si>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</si>
  <si>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</si>
  <si>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</si>
  <si>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</si>
  <si>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</si>
  <si>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</si>
  <si>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</si>
  <si>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</si>
  <si>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</si>
  <si>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</si>
  <si>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</si>
  <si>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</si>
  <si>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</si>
  <si>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</si>
  <si>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</si>
  <si>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</si>
  <si>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</si>
  <si>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</si>
  <si>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</si>
  <si>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</si>
  <si>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</si>
  <si>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</si>
  <si>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</si>
  <si>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</si>
  <si>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</si>
  <si>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</si>
  <si>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</si>
  <si>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</si>
  <si>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</si>
  <si>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</si>
  <si>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</si>
  <si>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</si>
  <si>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</si>
  <si>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</si>
  <si>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</si>
  <si>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</si>
  <si>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</si>
  <si>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</si>
  <si>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</si>
  <si>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</si>
  <si>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</si>
  <si>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</si>
  <si>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</si>
  <si>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</si>
  <si>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</si>
  <si>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</si>
  <si>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</si>
  <si>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</si>
  <si>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</si>
  <si>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</si>
  <si>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</si>
  <si>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</si>
  <si>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</si>
  <si>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</si>
  <si>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</si>
  <si>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</si>
  <si>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</si>
  <si>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</si>
  <si>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</si>
  <si>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</si>
  <si>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</si>
  <si>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</si>
  <si>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</si>
  <si>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</si>
  <si>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</si>
  <si>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</si>
  <si>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</si>
  <si>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</si>
  <si>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</si>
  <si>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</si>
  <si>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</si>
  <si>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</si>
  <si>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</si>
  <si>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</si>
  <si>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</si>
  <si>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</si>
  <si>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</si>
  <si>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</si>
  <si>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</si>
  <si>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</si>
  <si>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</si>
  <si>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</si>
  <si>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</si>
  <si>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</si>
  <si>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</si>
  <si>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</si>
  <si>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</si>
  <si>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</si>
  <si>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</si>
  <si>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</si>
  <si>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</si>
  <si>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</si>
  <si>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</si>
  <si>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</si>
  <si>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</si>
  <si>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</si>
  <si>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</si>
  <si>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</si>
  <si>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</si>
  <si>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</si>
  <si>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</si>
  <si>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</si>
  <si>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</si>
  <si>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</si>
  <si>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</si>
  <si>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</si>
  <si>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</si>
  <si>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</si>
  <si>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</si>
  <si>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</si>
  <si>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</si>
  <si>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</si>
  <si>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</si>
  <si>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</si>
  <si>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</si>
  <si>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</si>
  <si>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</si>
  <si>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</si>
  <si>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</si>
  <si>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</si>
  <si>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</si>
  <si>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</si>
  <si>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</si>
  <si>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</si>
  <si>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</si>
  <si>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</si>
  <si>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</si>
  <si>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</si>
  <si>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</si>
  <si>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</si>
  <si>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</si>
  <si>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</si>
  <si>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</si>
  <si>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</si>
  <si>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</si>
  <si>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</si>
  <si>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</si>
  <si>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</si>
  <si>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</si>
  <si>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</si>
  <si>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</si>
  <si>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</si>
  <si>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</si>
  <si>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</si>
  <si>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</si>
  <si>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</si>
  <si>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</si>
  <si>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</si>
  <si>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</si>
  <si>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</si>
  <si>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</si>
  <si>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</si>
  <si>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</si>
  <si>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</si>
  <si>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</si>
  <si>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</si>
  <si>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</si>
  <si>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</si>
  <si>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</si>
  <si>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</si>
  <si>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</si>
  <si>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</si>
  <si>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</si>
  <si>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</si>
  <si>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</si>
  <si>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</si>
  <si>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</si>
  <si>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</si>
  <si>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</si>
  <si>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</si>
  <si>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</si>
  <si>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</si>
  <si>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</si>
  <si>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</si>
  <si>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</si>
  <si>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</si>
  <si>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</si>
  <si>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</si>
  <si>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</si>
  <si>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</si>
  <si>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</si>
  <si>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</si>
  <si>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</si>
  <si>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</si>
  <si>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</si>
  <si>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</si>
  <si>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</si>
  <si>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</si>
  <si>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</si>
  <si>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</si>
  <si>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</si>
  <si>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</si>
  <si>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</si>
  <si>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</si>
  <si>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</si>
  <si>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</si>
  <si>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</si>
  <si>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</si>
  <si>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</si>
  <si>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</si>
  <si>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</si>
  <si>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</si>
  <si>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</si>
  <si>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</si>
  <si>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</si>
  <si>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</si>
  <si>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</si>
  <si>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</si>
  <si>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</si>
  <si>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</si>
  <si>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</si>
  <si>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</si>
  <si>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</si>
  <si>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</si>
  <si>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</si>
  <si>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</si>
  <si>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</si>
  <si>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</si>
  <si>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</si>
  <si>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</si>
  <si>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</si>
  <si>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</si>
  <si>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</si>
  <si>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</si>
  <si>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</si>
  <si>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</si>
  <si>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</si>
  <si>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</si>
  <si>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</si>
  <si>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</si>
  <si>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</si>
  <si>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</si>
  <si>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</si>
  <si>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</si>
  <si>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</si>
  <si>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</si>
  <si>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</si>
  <si>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</si>
  <si>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</si>
  <si>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</si>
  <si>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</si>
  <si>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</si>
  <si>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</si>
  <si>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</si>
  <si>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</si>
  <si>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</si>
  <si>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</si>
  <si>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</si>
  <si>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</si>
  <si>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</si>
  <si>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</si>
  <si>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</si>
  <si>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</si>
  <si>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</si>
  <si>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</si>
  <si>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</si>
  <si>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</si>
  <si>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</si>
  <si>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</si>
  <si>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</si>
  <si>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</si>
  <si>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</si>
  <si>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</si>
  <si>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</si>
  <si>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</si>
  <si>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</si>
  <si>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</si>
  <si>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</si>
  <si>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</si>
  <si>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</si>
  <si>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</si>
  <si>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</si>
  <si>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</si>
  <si>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</si>
  <si>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</si>
  <si>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</si>
  <si>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</si>
  <si>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</si>
  <si>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</si>
  <si>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</si>
  <si>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</si>
  <si>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</si>
  <si>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</si>
  <si>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</si>
  <si>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</si>
  <si>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</si>
  <si>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</si>
  <si>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</si>
  <si>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</si>
  <si>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</si>
  <si>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</si>
  <si>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</si>
  <si>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</si>
  <si>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</si>
  <si>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</si>
  <si>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</si>
  <si>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</si>
  <si>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</si>
  <si>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</si>
  <si>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</si>
  <si>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</si>
  <si>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</si>
  <si>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</si>
  <si>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</si>
  <si>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</si>
  <si>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</si>
  <si>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</si>
  <si>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</si>
  <si>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</si>
  <si>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</si>
  <si>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</si>
  <si>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</si>
  <si>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</si>
  <si>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</si>
  <si>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</si>
  <si>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</si>
  <si>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</si>
  <si>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</si>
  <si>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</si>
  <si>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</si>
  <si>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</si>
  <si>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</si>
  <si>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</si>
  <si>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</si>
  <si>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</si>
  <si>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</si>
  <si>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</si>
  <si>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</si>
  <si>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</si>
  <si>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</si>
  <si>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</si>
  <si>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</si>
  <si>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</si>
  <si>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</si>
  <si>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</si>
  <si>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</si>
  <si>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</si>
  <si>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</si>
  <si>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</si>
  <si>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</si>
  <si>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</si>
  <si>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</si>
  <si>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</si>
  <si>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</si>
  <si>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</si>
  <si>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</si>
  <si>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</si>
  <si>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</si>
  <si>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</si>
  <si>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</si>
  <si>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</si>
  <si>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</si>
  <si>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</si>
  <si>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</si>
  <si>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</si>
  <si>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</si>
  <si>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</si>
  <si>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</si>
  <si>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</si>
  <si>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</si>
  <si>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</si>
  <si>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</si>
  <si>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</si>
  <si>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</si>
  <si>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</si>
  <si>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</si>
  <si>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</si>
  <si>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</si>
  <si>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</si>
  <si>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</si>
  <si>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</si>
  <si>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</si>
  <si>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</si>
  <si>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</si>
  <si>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</si>
  <si>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</si>
  <si>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</si>
  <si>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</si>
  <si>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</si>
  <si>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</si>
  <si>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</si>
  <si>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</si>
  <si>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</si>
  <si>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</si>
  <si>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</si>
  <si>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</si>
  <si>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</si>
  <si>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</si>
  <si>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</si>
  <si>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</si>
  <si>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</si>
  <si>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</si>
  <si>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</si>
  <si>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</si>
  <si>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</si>
  <si>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</si>
  <si>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</si>
  <si>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</si>
  <si>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</si>
  <si>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</si>
  <si>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</si>
  <si>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</si>
  <si>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</si>
  <si>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</si>
  <si>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</si>
  <si>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</si>
  <si>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</si>
  <si>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</si>
  <si>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</si>
  <si>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</si>
  <si>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</si>
  <si>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</si>
  <si>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</si>
  <si>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</si>
  <si>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</si>
  <si>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</si>
  <si>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</si>
  <si>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</si>
  <si>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</si>
  <si>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</si>
  <si>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</si>
  <si>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</si>
  <si>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</si>
  <si>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</si>
  <si>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</si>
  <si>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</si>
  <si>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</si>
  <si>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</si>
  <si>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</si>
  <si>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</si>
  <si>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</si>
  <si>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</si>
  <si>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</si>
  <si>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</si>
  <si>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</si>
  <si>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</si>
  <si>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</si>
  <si>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</si>
  <si>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</si>
  <si>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</si>
  <si>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</si>
  <si>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</si>
  <si>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</si>
  <si>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</si>
  <si>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</si>
  <si>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</si>
  <si>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</si>
  <si>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</si>
  <si>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</si>
  <si>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</si>
  <si>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</si>
  <si>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</si>
  <si>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</si>
  <si>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</si>
  <si>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</si>
  <si>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</si>
  <si>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</si>
  <si>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</si>
  <si>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</si>
  <si>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</si>
  <si>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</si>
  <si>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</si>
  <si>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</si>
  <si>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</si>
  <si>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</si>
  <si>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</si>
  <si>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</si>
  <si>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</si>
  <si>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</si>
  <si>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</si>
  <si>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</si>
  <si>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</si>
  <si>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</si>
  <si>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</si>
  <si>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</si>
  <si>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</si>
  <si>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</si>
  <si>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</si>
  <si>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</si>
  <si>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</si>
  <si>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</si>
  <si>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</si>
  <si>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</si>
  <si>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</si>
  <si>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</si>
  <si>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</si>
  <si>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</si>
  <si>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</si>
  <si>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</si>
  <si>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</si>
  <si>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</si>
  <si>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</si>
  <si>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</si>
  <si>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</si>
  <si>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</si>
  <si>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</si>
  <si>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</si>
  <si>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</si>
  <si>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</si>
  <si>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</si>
  <si>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</si>
  <si>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</si>
  <si>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</si>
  <si>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</si>
  <si>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</si>
  <si>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</si>
  <si>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</si>
  <si>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</si>
  <si>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</si>
  <si>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</si>
  <si>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</si>
  <si>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</si>
  <si>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</si>
  <si>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</si>
  <si>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</si>
  <si>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</si>
  <si>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</si>
  <si>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</si>
  <si>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</si>
  <si>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</si>
  <si>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</si>
  <si>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</si>
  <si>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</si>
  <si>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</si>
  <si>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</si>
  <si>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</si>
  <si>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</si>
  <si>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</si>
  <si>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</si>
  <si>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</si>
  <si>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</si>
  <si>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</si>
  <si>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</si>
  <si>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</si>
  <si>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</si>
  <si>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</si>
  <si>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</si>
  <si>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</si>
  <si>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</si>
  <si>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</si>
  <si>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</si>
  <si>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</si>
  <si>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</si>
  <si>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</si>
  <si>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</si>
  <si>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</si>
  <si>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</si>
  <si>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</si>
  <si>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</si>
  <si>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</si>
  <si>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</si>
  <si>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</si>
  <si>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</si>
  <si>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</si>
  <si>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</si>
  <si>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</si>
  <si>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</si>
  <si>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</si>
  <si>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</si>
  <si>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</si>
  <si>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</si>
  <si>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</si>
  <si>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</si>
  <si>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</si>
  <si>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</si>
  <si>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</si>
  <si>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</si>
  <si>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</si>
  <si>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</si>
  <si>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</si>
  <si>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</si>
  <si>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</si>
  <si>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</si>
  <si>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</si>
  <si>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</si>
  <si>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</si>
  <si>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</si>
  <si>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</si>
  <si>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</si>
  <si>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</si>
  <si>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</si>
  <si>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</si>
  <si>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</si>
  <si>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</si>
  <si>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</si>
  <si>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</si>
  <si>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</si>
  <si>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</si>
  <si>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</si>
  <si>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</si>
  <si>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</si>
  <si>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</si>
  <si>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</si>
  <si>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</si>
  <si>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</si>
  <si>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</si>
  <si>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</si>
  <si>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</si>
  <si>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</si>
  <si>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</si>
  <si>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</si>
  <si>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</si>
  <si>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</si>
  <si>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</si>
  <si>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</si>
  <si>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</si>
  <si>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</si>
  <si>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</si>
  <si>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</si>
  <si>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</si>
  <si>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</si>
  <si>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</si>
  <si>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</si>
  <si>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</si>
  <si>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</si>
  <si>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</si>
  <si>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</si>
  <si>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</si>
  <si>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</si>
  <si>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</si>
  <si>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</si>
  <si>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</si>
  <si>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</si>
  <si>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</si>
  <si>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</si>
  <si>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</si>
  <si>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</si>
  <si>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</si>
  <si>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</si>
  <si>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</si>
  <si>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</si>
  <si>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</si>
  <si>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</si>
  <si>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</si>
  <si>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</si>
  <si>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</si>
  <si>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</si>
  <si>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</si>
  <si>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</si>
  <si>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</si>
  <si>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</si>
  <si>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</si>
  <si>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</si>
  <si>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</si>
  <si>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</si>
  <si>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</si>
  <si>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</si>
  <si>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</si>
  <si>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</si>
  <si>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</si>
  <si>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</si>
  <si>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</si>
  <si>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</si>
  <si>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</si>
  <si>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</si>
  <si>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</si>
  <si>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</si>
  <si>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</si>
  <si>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</si>
  <si>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</si>
  <si>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</si>
  <si>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</si>
  <si>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</si>
  <si>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</si>
  <si>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</si>
  <si>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</si>
  <si>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</si>
  <si>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</si>
  <si>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</si>
  <si>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</si>
  <si>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</si>
  <si>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</si>
  <si>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</si>
  <si>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</si>
  <si>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</si>
  <si>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</si>
  <si>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</si>
  <si>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</si>
  <si>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</si>
  <si>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</si>
  <si>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</si>
  <si>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</si>
  <si>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</si>
  <si>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</si>
  <si>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</si>
  <si>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</si>
  <si>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</si>
  <si>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</si>
  <si>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</si>
  <si>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</si>
  <si>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</si>
  <si>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</si>
  <si>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</si>
  <si>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</si>
  <si>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</si>
  <si>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</si>
  <si>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</si>
  <si>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</si>
  <si>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</si>
  <si>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</si>
  <si>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</si>
  <si>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</si>
  <si>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</si>
  <si>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</si>
  <si>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</si>
  <si>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</si>
  <si>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</si>
  <si>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</si>
  <si>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</si>
  <si>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</si>
  <si>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</si>
  <si>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</si>
  <si>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</si>
  <si>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</si>
  <si>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</si>
  <si>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</si>
  <si>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</si>
  <si>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</si>
  <si>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</si>
  <si>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</si>
  <si>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</si>
  <si>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</si>
  <si>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</si>
  <si>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</si>
  <si>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</si>
  <si>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</si>
  <si>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</si>
  <si>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</si>
  <si>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</si>
  <si>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</si>
  <si>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</si>
  <si>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</si>
  <si>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</si>
  <si>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</si>
  <si>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</si>
  <si>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</si>
  <si>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</si>
  <si>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</si>
  <si>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</si>
  <si>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</si>
  <si>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</si>
  <si>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</si>
  <si>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</si>
  <si>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</si>
  <si>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</si>
  <si>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</si>
  <si>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</si>
  <si>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</si>
  <si>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</si>
  <si>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</si>
  <si>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</si>
  <si>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</si>
  <si>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</si>
  <si>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</si>
  <si>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</si>
  <si>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</si>
  <si>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</si>
  <si>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</si>
  <si>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</si>
  <si>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</si>
  <si>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</si>
  <si>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</si>
  <si>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</si>
  <si>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</si>
  <si>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</si>
  <si>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</si>
  <si>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</si>
  <si>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</si>
  <si>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</si>
  <si>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</si>
  <si>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</si>
  <si>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</si>
  <si>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</si>
  <si>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</si>
  <si>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</si>
  <si>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</si>
  <si>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</si>
  <si>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</si>
  <si>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</si>
  <si>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</si>
  <si>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</si>
  <si>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</si>
  <si>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</si>
  <si>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</si>
  <si>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</si>
  <si>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</si>
  <si>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</si>
  <si>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</si>
  <si>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</si>
  <si>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</si>
  <si>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</si>
  <si>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</si>
  <si>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</si>
  <si>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</si>
  <si>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</si>
  <si>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</si>
  <si>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</si>
  <si>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</si>
  <si>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</si>
  <si>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</si>
  <si>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</si>
  <si>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</si>
  <si>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</si>
  <si>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</si>
  <si>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</si>
  <si>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</si>
  <si>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</si>
  <si>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</si>
  <si>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</si>
  <si>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</si>
  <si>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</si>
  <si>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</si>
  <si>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</si>
  <si>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</si>
  <si>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</si>
  <si>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</si>
  <si>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</si>
  <si>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</si>
  <si>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</si>
  <si>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</si>
  <si>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</si>
  <si>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</si>
  <si>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</si>
  <si>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</si>
  <si>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</si>
  <si>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</si>
  <si>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</si>
  <si>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</si>
  <si>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</si>
  <si>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</si>
  <si>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</si>
  <si>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</si>
  <si>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</si>
  <si>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</si>
  <si>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</si>
  <si>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</si>
  <si>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</si>
  <si>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</si>
  <si>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</si>
  <si>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</si>
  <si>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</si>
  <si>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</si>
  <si>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</si>
  <si>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</si>
  <si>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</si>
  <si>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</si>
  <si>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</si>
  <si>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</si>
  <si>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</si>
  <si>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</si>
  <si>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</si>
  <si>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</si>
  <si>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</si>
  <si>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</si>
  <si>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</si>
  <si>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</si>
  <si>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</si>
  <si>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</si>
  <si>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</si>
  <si>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</si>
  <si>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</si>
  <si>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</si>
  <si>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</si>
  <si>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</si>
  <si>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</si>
  <si>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</si>
  <si>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</si>
  <si>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</si>
  <si>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</si>
  <si>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</si>
  <si>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</si>
  <si>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</si>
  <si>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</si>
  <si>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</si>
  <si>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</si>
  <si>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</si>
  <si>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</si>
  <si>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</si>
  <si>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</si>
  <si>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</si>
  <si>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</si>
  <si>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</si>
  <si>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</si>
  <si>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</si>
  <si>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</si>
  <si>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</si>
  <si>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</si>
  <si>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</si>
  <si>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</si>
  <si>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</si>
  <si>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</si>
  <si>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</si>
  <si>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</si>
  <si>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</si>
  <si>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</si>
  <si>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</si>
  <si>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</si>
  <si>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</si>
  <si>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</si>
  <si>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</si>
  <si>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</si>
  <si>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</si>
  <si>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</si>
  <si>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</si>
  <si>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</si>
  <si>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</si>
  <si>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</si>
  <si>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</si>
  <si>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</si>
  <si>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</si>
  <si>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</si>
  <si>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</si>
  <si>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</si>
  <si>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</si>
  <si>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</si>
  <si>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</si>
  <si>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</si>
  <si>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</si>
  <si>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</si>
  <si>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</si>
  <si>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</si>
  <si>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</si>
  <si>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</si>
  <si>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</si>
  <si>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</si>
  <si>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</si>
  <si>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</si>
  <si>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</si>
  <si>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</si>
  <si>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</si>
  <si>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</si>
  <si>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</si>
  <si>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</si>
  <si>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</si>
  <si>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</si>
  <si>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</si>
  <si>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</si>
  <si>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</si>
  <si>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</si>
  <si>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</si>
  <si>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</si>
  <si>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</si>
  <si>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</si>
  <si>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</si>
  <si>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</si>
  <si>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</si>
  <si>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</si>
  <si>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</si>
  <si>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</si>
  <si>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</si>
  <si>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</si>
  <si>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</si>
  <si>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</si>
  <si>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</si>
  <si>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</si>
  <si>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</si>
  <si>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</si>
  <si>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</si>
  <si>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</si>
  <si>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</si>
  <si>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</si>
  <si>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</si>
  <si>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</si>
  <si>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</si>
  <si>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</si>
  <si>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</si>
  <si>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</si>
  <si>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</si>
  <si>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</si>
  <si>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</si>
  <si>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</si>
  <si>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</si>
  <si>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</si>
  <si>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</si>
  <si>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</si>
  <si>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</si>
  <si>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</si>
  <si>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</si>
  <si>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</si>
  <si>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</si>
  <si>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</si>
  <si>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</si>
  <si>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</si>
  <si>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</si>
  <si>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</si>
  <si>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</si>
  <si>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</si>
  <si>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</si>
  <si>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</si>
  <si>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</si>
  <si>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</si>
  <si>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</si>
  <si>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</si>
  <si>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</si>
  <si>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</si>
  <si>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</si>
  <si>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</si>
  <si>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</si>
  <si>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</si>
  <si>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</si>
  <si>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</si>
  <si>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</si>
  <si>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</si>
  <si>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</si>
  <si>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</si>
  <si>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</si>
  <si>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</si>
  <si>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</si>
  <si>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</si>
  <si>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</si>
  <si>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</si>
  <si>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</si>
  <si>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</si>
  <si>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</si>
  <si>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</si>
  <si>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</si>
  <si>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</si>
  <si>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</si>
  <si>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</si>
  <si>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</si>
  <si>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</si>
  <si>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</si>
  <si>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</si>
  <si>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</si>
  <si>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</si>
  <si>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</si>
  <si>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</si>
  <si>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</si>
  <si>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</si>
  <si>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</si>
  <si>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</si>
  <si>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</si>
  <si>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</si>
  <si>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</si>
  <si>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</si>
  <si>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</si>
  <si>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</si>
  <si>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</si>
  <si>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</si>
  <si>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</si>
  <si>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</si>
  <si>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</si>
  <si>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</si>
  <si>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</si>
  <si>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</si>
  <si>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</si>
  <si>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</si>
  <si>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</si>
  <si>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</si>
  <si>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</si>
  <si>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</si>
  <si>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</si>
  <si>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</si>
  <si>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</si>
  <si>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</si>
  <si>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</si>
  <si>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</si>
  <si>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</si>
  <si>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</si>
  <si>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</si>
  <si>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</si>
  <si>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</si>
  <si>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</si>
  <si>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</si>
  <si>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</si>
  <si>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</si>
  <si>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</si>
  <si>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</si>
  <si>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</si>
  <si>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</si>
  <si>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</si>
  <si>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</si>
  <si>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</si>
  <si>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</si>
  <si>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</si>
  <si>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</si>
  <si>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</si>
  <si>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</si>
  <si>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</si>
  <si>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</si>
  <si>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</si>
  <si>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</si>
  <si>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</si>
  <si>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</si>
  <si>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</si>
  <si>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</si>
  <si>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</si>
  <si>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</si>
  <si>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</si>
  <si>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</si>
  <si>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</si>
  <si>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</si>
  <si>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</si>
  <si>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</si>
  <si>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</si>
  <si>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</si>
  <si>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</si>
  <si>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</si>
  <si>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</si>
  <si>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</si>
  <si>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</si>
  <si>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</si>
  <si>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</si>
  <si>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</si>
  <si>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</si>
  <si>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</si>
  <si>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</si>
  <si>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</si>
  <si>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</si>
  <si>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</si>
  <si>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</si>
  <si>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</si>
  <si>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</si>
  <si>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</si>
  <si>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</si>
  <si>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</si>
  <si>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</si>
  <si>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</si>
  <si>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</si>
  <si>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</si>
  <si>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</si>
  <si>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</si>
  <si>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</si>
  <si>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</si>
  <si>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</si>
  <si>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</si>
  <si>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</si>
  <si>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</si>
  <si>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</si>
  <si>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</si>
  <si>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</si>
  <si>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</si>
  <si>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</si>
  <si>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</si>
  <si>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</si>
  <si>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</si>
  <si>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</si>
  <si>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</si>
  <si>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</si>
  <si>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</si>
  <si>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</si>
  <si>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</si>
  <si>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</si>
  <si>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</si>
  <si>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</si>
  <si>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</si>
  <si>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</si>
  <si>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</si>
  <si>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</si>
  <si>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</si>
  <si>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</si>
  <si>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</si>
  <si>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</si>
  <si>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</si>
  <si>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</si>
  <si>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</si>
  <si>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</si>
  <si>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</si>
  <si>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</si>
  <si>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</si>
  <si>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</si>
  <si>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</si>
  <si>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</si>
  <si>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</si>
  <si>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</si>
  <si>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</si>
  <si>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</si>
  <si>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</si>
  <si>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</si>
  <si>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</si>
  <si>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</si>
  <si>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</si>
  <si>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</si>
  <si>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</si>
  <si>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</si>
  <si>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</si>
  <si>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</si>
  <si>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</si>
  <si>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</si>
  <si>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</si>
  <si>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</si>
  <si>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</si>
  <si>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</si>
  <si>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</si>
  <si>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</si>
  <si>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</si>
  <si>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</si>
  <si>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</si>
  <si>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</si>
  <si>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</si>
  <si>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</si>
  <si>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</si>
  <si>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</si>
  <si>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</si>
  <si>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</si>
  <si>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</si>
  <si>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</si>
  <si>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</si>
  <si>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</si>
  <si>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</si>
  <si>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</si>
  <si>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</si>
  <si>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</si>
  <si>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</si>
  <si>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</si>
  <si>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</si>
  <si>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</si>
  <si>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</si>
  <si>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</si>
  <si>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</si>
  <si>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</si>
  <si>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</si>
  <si>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</si>
  <si>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</si>
  <si>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</si>
  <si>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</si>
  <si>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</si>
  <si>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</si>
  <si>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</si>
  <si>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</si>
  <si>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</si>
  <si>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</si>
  <si>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</si>
  <si>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</si>
  <si>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</si>
  <si>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</si>
  <si>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</si>
  <si>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</si>
  <si>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</si>
  <si>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</si>
  <si>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</si>
  <si>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</si>
  <si>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</si>
  <si>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</si>
  <si>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</si>
  <si>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</si>
  <si>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</si>
  <si>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</si>
  <si>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</si>
  <si>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</si>
  <si>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</si>
  <si>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</si>
  <si>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</si>
  <si>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</si>
  <si>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</si>
  <si>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</si>
  <si>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</si>
  <si>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</si>
  <si>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</si>
  <si>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</si>
  <si>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</si>
  <si>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</si>
  <si>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</si>
  <si>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</si>
  <si>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</si>
  <si>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</si>
  <si>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</si>
  <si>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</si>
  <si>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</si>
  <si>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</si>
  <si>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</si>
  <si>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</si>
  <si>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</si>
  <si>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</si>
  <si>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</si>
  <si>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</si>
  <si>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</si>
  <si>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</si>
  <si>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</si>
  <si>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</si>
  <si>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</si>
  <si>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</si>
  <si>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</si>
  <si>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</si>
  <si>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</si>
  <si>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</si>
  <si>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</si>
  <si>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</si>
  <si>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</si>
  <si>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</si>
  <si>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</si>
  <si>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</si>
  <si>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</si>
  <si>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</si>
  <si>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</si>
  <si>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</si>
  <si>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</si>
  <si>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</si>
  <si>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</si>
  <si>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</si>
  <si>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</si>
  <si>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</si>
  <si>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</si>
  <si>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</si>
  <si>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</si>
  <si>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</si>
  <si>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</si>
  <si>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</si>
  <si>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</si>
  <si>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</si>
  <si>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</si>
  <si>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</si>
  <si>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</si>
  <si>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</si>
  <si>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</si>
  <si>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</si>
  <si>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</si>
  <si>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</si>
  <si>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</si>
  <si>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</si>
  <si>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</si>
  <si>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</si>
  <si>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</si>
  <si>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</si>
  <si>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</si>
  <si>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</si>
  <si>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</si>
  <si>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</si>
  <si>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</si>
  <si>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</si>
  <si>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</si>
  <si>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</si>
  <si>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</si>
  <si>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</si>
  <si>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</si>
  <si>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</si>
  <si>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</si>
  <si>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</si>
  <si>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</si>
  <si>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</si>
  <si>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</si>
  <si>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</si>
  <si>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</si>
  <si>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</si>
  <si>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</si>
  <si>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</si>
  <si>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</si>
  <si>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</si>
  <si>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</si>
  <si>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</si>
  <si>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</si>
  <si>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</si>
  <si>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</si>
  <si>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</si>
  <si>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</si>
  <si>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</si>
  <si>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</si>
  <si>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</si>
  <si>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</si>
  <si>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</si>
  <si>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</si>
  <si>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</si>
  <si>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</si>
  <si>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</si>
  <si>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</si>
  <si>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</si>
  <si>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</si>
  <si>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</si>
  <si>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</si>
  <si>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</si>
  <si>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</si>
  <si>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</si>
  <si>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</si>
  <si>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</si>
  <si>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</si>
  <si>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</si>
  <si>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</si>
  <si>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</si>
  <si>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</si>
  <si>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</si>
  <si>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</si>
  <si>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</si>
  <si>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</si>
  <si>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</si>
  <si>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</si>
  <si>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</si>
  <si>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</si>
  <si>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</si>
  <si>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</si>
  <si>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</si>
  <si>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</si>
  <si>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</si>
  <si>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</si>
  <si>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</si>
  <si>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</si>
  <si>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</si>
  <si>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</si>
  <si>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</si>
  <si>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</si>
  <si>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</si>
  <si>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</si>
  <si>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</si>
  <si>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</si>
  <si>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</si>
  <si>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</si>
  <si>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</si>
  <si>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</si>
  <si>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</si>
  <si>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</si>
  <si>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</si>
  <si>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</si>
  <si>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</si>
  <si>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</si>
  <si>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</si>
  <si>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</si>
  <si>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</si>
  <si>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</si>
  <si>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</si>
  <si>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</si>
  <si>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</si>
  <si>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</si>
  <si>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</si>
  <si>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</si>
  <si>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</si>
  <si>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</si>
  <si>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</si>
  <si>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</si>
  <si>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</si>
  <si>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</si>
  <si>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</si>
  <si>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</si>
  <si>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</si>
  <si>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</si>
  <si>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</si>
  <si>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</si>
  <si>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</si>
  <si>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</si>
  <si>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</si>
  <si>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</si>
  <si>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</si>
  <si>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</si>
  <si>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</si>
  <si>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</si>
  <si>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</si>
  <si>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</si>
  <si>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</si>
  <si>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</si>
  <si>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</si>
  <si>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</si>
  <si>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</si>
  <si>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</si>
  <si>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</si>
  <si>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</si>
  <si>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</si>
  <si>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</si>
  <si>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</si>
  <si>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</si>
  <si>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</si>
  <si>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</si>
  <si>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</si>
  <si>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</si>
  <si>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</si>
  <si>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</si>
  <si>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</si>
  <si>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</si>
  <si>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</si>
  <si>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</si>
  <si>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</si>
  <si>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</si>
  <si>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</si>
  <si>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</si>
  <si>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</si>
  <si>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</si>
  <si>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</si>
  <si>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</si>
  <si>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</si>
  <si>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</si>
  <si>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</si>
  <si>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</si>
  <si>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</si>
  <si>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</si>
  <si>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</si>
  <si>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</si>
  <si>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</si>
  <si>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</si>
  <si>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</si>
  <si>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</si>
  <si>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</si>
  <si>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</si>
  <si>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</si>
  <si>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</si>
  <si>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</si>
  <si>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</si>
  <si>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</si>
  <si>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</si>
  <si>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</si>
  <si>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</si>
  <si>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</si>
  <si>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</si>
  <si>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</si>
  <si>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</si>
  <si>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</si>
  <si>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</si>
  <si>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</si>
  <si>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</si>
  <si>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</si>
  <si>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</si>
  <si>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</si>
  <si>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</si>
  <si>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</si>
  <si>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</si>
  <si>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</si>
  <si>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</si>
  <si>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</si>
  <si>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</si>
  <si>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</si>
  <si>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</si>
  <si>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</si>
  <si>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</si>
  <si>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</si>
  <si>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</si>
  <si>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</si>
  <si>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</si>
  <si>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</si>
  <si>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</si>
  <si>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</si>
  <si>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</si>
  <si>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</si>
  <si>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</si>
  <si>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</si>
  <si>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</si>
  <si>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</si>
  <si>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</si>
  <si>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</si>
  <si>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</si>
  <si>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</si>
  <si>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</si>
  <si>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</si>
  <si>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</si>
  <si>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</si>
  <si>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</si>
  <si>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</si>
  <si>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</si>
  <si>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</si>
  <si>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</si>
  <si>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</si>
  <si>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</si>
  <si>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</si>
  <si>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</si>
  <si>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</si>
  <si>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</si>
  <si>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</si>
  <si>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</si>
  <si>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</si>
  <si>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</si>
  <si>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</si>
  <si>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</si>
  <si>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</si>
  <si>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</si>
  <si>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</si>
  <si>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</si>
  <si>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</si>
  <si>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</si>
  <si>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</si>
  <si>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</si>
  <si>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</si>
  <si>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</si>
  <si>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</si>
  <si>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</si>
  <si>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</si>
  <si>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</si>
  <si>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</si>
  <si>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</si>
  <si>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</si>
  <si>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</si>
  <si>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</si>
  <si>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</si>
  <si>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</si>
  <si>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</si>
  <si>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</si>
  <si>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</si>
  <si>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</si>
  <si>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</si>
  <si>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</si>
  <si>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</si>
  <si>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</si>
  <si>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</si>
  <si>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</si>
  <si>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</si>
  <si>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</si>
  <si>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</si>
  <si>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</si>
  <si>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</si>
  <si>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</si>
  <si>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</si>
  <si>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</si>
  <si>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</si>
  <si>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</si>
  <si>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</si>
  <si>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</si>
  <si>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</si>
  <si>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</si>
  <si>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</si>
  <si>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</si>
  <si>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</si>
  <si>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</si>
  <si>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</si>
  <si>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</si>
  <si>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</si>
  <si>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</si>
  <si>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</si>
  <si>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</si>
  <si>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</si>
  <si>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</si>
  <si>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</si>
  <si>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</si>
  <si>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</si>
  <si>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</si>
  <si>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</si>
  <si>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</si>
  <si>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</si>
  <si>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</si>
  <si>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</si>
  <si>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</si>
  <si>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</si>
  <si>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</si>
  <si>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</si>
  <si>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</si>
  <si>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</si>
  <si>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</si>
  <si>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</si>
  <si>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</si>
  <si>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</si>
  <si>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</si>
  <si>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</si>
  <si>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</si>
  <si>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</si>
  <si>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</si>
  <si>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</si>
  <si>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</si>
  <si>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</si>
  <si>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</si>
  <si>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</si>
  <si>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</si>
  <si>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</si>
  <si>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</si>
  <si>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</si>
  <si>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</si>
  <si>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</si>
  <si>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</si>
  <si>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</si>
  <si>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</si>
  <si>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</si>
  <si>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</si>
  <si>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</si>
  <si>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</si>
  <si>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</si>
  <si>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</si>
  <si>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</si>
  <si>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</si>
  <si>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</si>
  <si>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</si>
  <si>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</si>
  <si>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</si>
  <si>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</si>
  <si>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</si>
  <si>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</si>
  <si>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</si>
  <si>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</si>
  <si>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</si>
  <si>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</si>
  <si>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</si>
  <si>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</si>
  <si>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</si>
  <si>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</si>
  <si>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</si>
  <si>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</si>
  <si>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</si>
  <si>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</si>
  <si>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</si>
  <si>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</si>
  <si>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</si>
  <si>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</si>
  <si>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</si>
  <si>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</si>
  <si>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</si>
  <si>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</si>
  <si>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</si>
  <si>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</si>
  <si>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</si>
  <si>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</si>
  <si>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</si>
  <si>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</si>
  <si>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</si>
  <si>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</si>
  <si>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</si>
  <si>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</si>
  <si>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</si>
  <si>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</si>
  <si>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</si>
  <si>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</si>
  <si>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</si>
  <si>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</si>
  <si>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</si>
  <si>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</si>
  <si>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</si>
  <si>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</si>
  <si>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</si>
  <si>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</si>
  <si>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</si>
  <si>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</si>
  <si>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</si>
  <si>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</si>
  <si>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</si>
  <si>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</si>
  <si>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</si>
  <si>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</si>
  <si>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</si>
  <si>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</si>
  <si>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</si>
  <si>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</si>
  <si>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</si>
  <si>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</si>
  <si>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</si>
  <si>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</si>
  <si>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</si>
  <si>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</si>
  <si>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</si>
  <si>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</si>
  <si>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</si>
  <si>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</si>
  <si>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</si>
  <si>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</si>
  <si>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</si>
  <si>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</si>
  <si>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</si>
  <si>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</si>
  <si>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</si>
  <si>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</si>
  <si>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</si>
  <si>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</si>
  <si>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</si>
  <si>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</si>
  <si>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</si>
  <si>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</si>
  <si>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</si>
  <si>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</si>
  <si>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</si>
  <si>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</si>
  <si>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</si>
  <si>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</si>
  <si>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</si>
  <si>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</si>
  <si>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</si>
  <si>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</si>
  <si>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</si>
  <si>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</si>
  <si>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</si>
  <si>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</si>
  <si>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</si>
  <si>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</si>
  <si>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</si>
  <si>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</si>
  <si>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</si>
  <si>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</si>
  <si>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</si>
  <si>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</si>
  <si>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</si>
  <si>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</si>
  <si>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</si>
  <si>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</si>
  <si>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</si>
  <si>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</si>
  <si>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</si>
  <si>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</si>
  <si>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</si>
  <si>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</si>
  <si>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</si>
  <si>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</si>
  <si>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</si>
  <si>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</si>
  <si>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</si>
  <si>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</si>
  <si>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</si>
  <si>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</si>
  <si>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</si>
  <si>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</si>
  <si>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</si>
  <si>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</si>
  <si>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</si>
  <si>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</si>
  <si>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</si>
  <si>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</si>
  <si>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</si>
  <si>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</si>
  <si>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</si>
  <si>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</si>
  <si>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</si>
  <si>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</si>
  <si>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</si>
  <si>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</si>
  <si>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</si>
  <si>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</si>
  <si>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</si>
  <si>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</si>
  <si>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</si>
  <si>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</si>
  <si>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</si>
  <si>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</si>
  <si>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</si>
  <si>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</si>
  <si>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</si>
  <si>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</si>
  <si>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</si>
  <si>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</si>
  <si>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</si>
  <si>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</si>
  <si>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</si>
  <si>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</si>
  <si>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</si>
  <si>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</si>
  <si>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</si>
  <si>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</si>
  <si>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</si>
  <si>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</si>
  <si>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</si>
  <si>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</si>
  <si>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</si>
  <si>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</si>
  <si>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</si>
  <si>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</si>
  <si>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</si>
  <si>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</si>
  <si>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</si>
  <si>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</si>
  <si>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</si>
  <si>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</si>
  <si>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</si>
  <si>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</si>
  <si>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</si>
  <si>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</si>
  <si>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</si>
  <si>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</si>
  <si>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</si>
  <si>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</si>
  <si>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</si>
  <si>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</si>
  <si>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</si>
  <si>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</si>
  <si>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</si>
  <si>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</si>
  <si>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</si>
  <si>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</si>
  <si>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</si>
  <si>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</si>
  <si>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</si>
  <si>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</si>
  <si>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</si>
  <si>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</si>
  <si>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</si>
  <si>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</si>
  <si>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</si>
  <si>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</si>
  <si>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</si>
  <si>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</si>
  <si>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</si>
  <si>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</si>
  <si>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</si>
  <si>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</si>
  <si>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</si>
  <si>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</si>
  <si>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</si>
  <si>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</si>
  <si>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</si>
  <si>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</si>
  <si>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</si>
  <si>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</si>
  <si>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</si>
  <si>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</si>
  <si>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</si>
  <si>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</si>
  <si>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</si>
  <si>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</si>
  <si>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</si>
  <si>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</si>
  <si>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</si>
  <si>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</si>
  <si>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</si>
  <si>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</si>
  <si>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</si>
  <si>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</si>
  <si>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</si>
  <si>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</si>
  <si>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</si>
  <si>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</si>
  <si>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</si>
  <si>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</si>
  <si>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</si>
  <si>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</si>
  <si>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</si>
  <si>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</si>
  <si>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</si>
  <si>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</si>
  <si>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</si>
  <si>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</si>
  <si>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</si>
  <si>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</si>
  <si>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</si>
  <si>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</si>
  <si>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</si>
  <si>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</si>
  <si>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</si>
  <si>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</si>
  <si>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</si>
  <si>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</si>
  <si>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</si>
  <si>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</si>
  <si>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</si>
  <si>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</si>
  <si>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</si>
  <si>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</si>
  <si>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</si>
  <si>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</si>
  <si>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</si>
  <si>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</si>
  <si>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</si>
  <si>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</si>
  <si>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</si>
  <si>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</si>
  <si>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</si>
  <si>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</si>
  <si>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</si>
  <si>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</si>
  <si>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</si>
  <si>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</si>
  <si>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</si>
  <si>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</si>
  <si>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</si>
  <si>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</si>
  <si>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</si>
  <si>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</si>
  <si>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</si>
  <si>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</si>
  <si>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</si>
  <si>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</si>
  <si>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</si>
  <si>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</si>
  <si>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</si>
  <si>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</si>
  <si>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</si>
  <si>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</si>
  <si>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</si>
  <si>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</si>
  <si>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</si>
  <si>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</si>
  <si>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</si>
  <si>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</si>
  <si>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</si>
  <si>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</si>
  <si>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</si>
  <si>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</si>
  <si>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</si>
  <si>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</si>
  <si>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</si>
  <si>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</si>
  <si>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</si>
  <si>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</si>
  <si>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</si>
  <si>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</si>
  <si>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</si>
  <si>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</si>
  <si>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</si>
  <si>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</si>
  <si>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</si>
  <si>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</si>
  <si>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</si>
  <si>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</si>
  <si>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</si>
  <si>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</si>
  <si>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</si>
  <si>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</si>
  <si>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</si>
  <si>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</si>
  <si>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</si>
  <si>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</si>
  <si>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</si>
  <si>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</si>
  <si>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</si>
  <si>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</si>
  <si>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</si>
  <si>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</si>
  <si>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</si>
  <si>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</si>
  <si>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</si>
  <si>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</si>
  <si>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</si>
  <si>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</si>
  <si>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</si>
  <si>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</si>
  <si>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</si>
  <si>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</si>
  <si>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</si>
  <si>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</si>
  <si>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</si>
  <si>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</si>
  <si>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</si>
  <si>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</si>
  <si>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</si>
  <si>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</si>
  <si>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</si>
  <si>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</si>
  <si>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</si>
  <si>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</si>
  <si>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</si>
  <si>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</si>
  <si>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</si>
  <si>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</si>
  <si>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</si>
  <si>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</si>
  <si>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</si>
  <si>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</si>
  <si>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</si>
  <si>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</si>
  <si>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</si>
  <si>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</si>
  <si>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</si>
  <si>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</si>
  <si>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</si>
  <si>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</si>
  <si>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</si>
  <si>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</si>
  <si>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</si>
  <si>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</si>
  <si>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</si>
  <si>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</si>
  <si>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</si>
  <si>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</si>
  <si>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</si>
  <si>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</si>
  <si>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</si>
  <si>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</si>
  <si>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</si>
  <si>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</si>
  <si>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</si>
  <si>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</si>
  <si>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</si>
  <si>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</si>
  <si>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</si>
  <si>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</si>
  <si>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</si>
  <si>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</si>
  <si>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</si>
  <si>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</si>
  <si>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</si>
  <si>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</si>
  <si>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</si>
  <si>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</si>
  <si>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</si>
  <si>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</si>
  <si>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</si>
  <si>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</si>
  <si>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</si>
  <si>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</si>
  <si>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</si>
  <si>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</si>
  <si>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</si>
  <si>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</si>
  <si>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</si>
  <si>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</si>
  <si>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</si>
  <si>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</si>
  <si>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</si>
  <si>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</si>
  <si>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</si>
  <si>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</si>
  <si>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</si>
  <si>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</si>
  <si>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</si>
  <si>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</si>
  <si>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</si>
  <si>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</si>
  <si>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</si>
  <si>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</si>
  <si>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</si>
  <si>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</si>
  <si>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</si>
  <si>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</si>
  <si>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</si>
  <si>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</si>
  <si>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</si>
  <si>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</si>
  <si>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</si>
  <si>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</si>
  <si>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</si>
  <si>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</si>
  <si>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</si>
  <si>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</si>
  <si>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</si>
  <si>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</si>
  <si>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</si>
  <si>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</si>
  <si>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</si>
  <si>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</si>
  <si>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</si>
  <si>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</si>
  <si>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</si>
  <si>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</si>
  <si>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</si>
  <si>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</si>
  <si>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</si>
  <si>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</si>
  <si>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</si>
  <si>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</si>
  <si>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</si>
  <si>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</si>
  <si>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</si>
  <si>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</si>
  <si>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</si>
  <si>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</si>
  <si>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</si>
  <si>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</si>
  <si>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</si>
  <si>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</si>
  <si>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</si>
  <si>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</si>
  <si>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</si>
  <si>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</si>
  <si>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</si>
  <si>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</si>
  <si>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</si>
  <si>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</si>
  <si>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</si>
  <si>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</si>
  <si>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</si>
  <si>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</si>
  <si>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</si>
  <si>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</si>
  <si>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</si>
  <si>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</si>
  <si>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</si>
  <si>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</si>
  <si>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</si>
  <si>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</si>
  <si>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</si>
  <si>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</si>
  <si>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</si>
  <si>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</si>
  <si>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</si>
  <si>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</si>
  <si>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</si>
  <si>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</si>
  <si>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</si>
  <si>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</si>
  <si>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</si>
  <si>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</si>
  <si>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</si>
  <si>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</si>
  <si>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</si>
  <si>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</si>
  <si>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</si>
  <si>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</si>
  <si>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</si>
  <si>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</si>
  <si>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</si>
  <si>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</si>
  <si>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</si>
  <si>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</si>
  <si>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</si>
  <si>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</si>
  <si>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</si>
  <si>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</si>
  <si>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</si>
  <si>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</si>
  <si>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</si>
  <si>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</si>
  <si>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</si>
  <si>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</si>
  <si>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</si>
  <si>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</si>
  <si>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</si>
  <si>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</si>
  <si>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</si>
  <si>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</si>
  <si>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</si>
  <si>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</si>
  <si>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</si>
  <si>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</si>
  <si>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</si>
  <si>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</si>
  <si>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</si>
  <si>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</si>
  <si>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</si>
  <si>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</si>
  <si>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</si>
  <si>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</si>
  <si>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</si>
  <si>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</si>
  <si>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</si>
  <si>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</si>
  <si>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</si>
  <si>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</si>
  <si>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</si>
  <si>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</si>
  <si>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</si>
  <si>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</si>
  <si>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</si>
  <si>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</si>
  <si>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</si>
  <si>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</si>
  <si>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</si>
  <si>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</si>
  <si>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</si>
  <si>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</si>
  <si>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</si>
  <si>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</si>
  <si>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</si>
  <si>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</si>
  <si>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</si>
  <si>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</si>
  <si>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</si>
  <si>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</si>
  <si>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</si>
  <si>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</si>
  <si>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</si>
  <si>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</si>
  <si>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</si>
  <si>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</si>
  <si>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</si>
  <si>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</si>
  <si>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</si>
  <si>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</si>
  <si>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</si>
  <si>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</si>
  <si>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</si>
  <si>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</si>
  <si>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</si>
  <si>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</si>
  <si>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</si>
  <si>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</si>
  <si>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</si>
  <si>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</si>
  <si>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</si>
  <si>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</si>
  <si>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</si>
  <si>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</si>
  <si>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</si>
  <si>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</si>
  <si>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</si>
  <si>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</si>
  <si>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</si>
  <si>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</si>
  <si>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</si>
  <si>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</si>
  <si>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</si>
  <si>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</si>
  <si>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</si>
  <si>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</si>
  <si>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</si>
  <si>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</si>
  <si>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</si>
  <si>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</si>
  <si>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</si>
  <si>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</si>
  <si>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</si>
  <si>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</si>
  <si>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</si>
  <si>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</si>
  <si>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</si>
  <si>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</si>
  <si>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</si>
  <si>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</si>
  <si>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</si>
  <si>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</si>
  <si>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</si>
  <si>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</si>
  <si>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</si>
  <si>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</si>
  <si>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</si>
  <si>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</si>
  <si>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</si>
  <si>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</si>
  <si>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</si>
  <si>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</si>
  <si>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</si>
  <si>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</si>
  <si>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</si>
  <si>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</si>
  <si>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</si>
  <si>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</si>
  <si>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</si>
  <si>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</si>
  <si>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</si>
  <si>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</si>
  <si>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</si>
  <si>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</si>
  <si>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</si>
  <si>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</si>
  <si>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</si>
  <si>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</si>
  <si>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</si>
  <si>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</si>
  <si>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</si>
  <si>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</si>
  <si>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</si>
  <si>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</si>
  <si>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</si>
  <si>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</si>
  <si>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</si>
  <si>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</si>
  <si>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</si>
  <si>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</si>
  <si>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</si>
  <si>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</si>
  <si>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</si>
  <si>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</si>
  <si>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</si>
  <si>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</si>
  <si>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</si>
  <si>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</si>
  <si>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</si>
  <si>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</si>
  <si>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</si>
  <si>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</si>
  <si>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</si>
  <si>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</si>
  <si>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</si>
  <si>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</si>
  <si>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</si>
  <si>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</si>
  <si>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</si>
  <si>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</si>
  <si>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</si>
  <si>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</si>
  <si>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</si>
  <si>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</si>
  <si>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</si>
  <si>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</si>
  <si>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</si>
  <si>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</si>
  <si>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</si>
  <si>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</si>
  <si>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</si>
  <si>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</si>
  <si>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</si>
  <si>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</si>
  <si>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</si>
  <si>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</si>
  <si>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</si>
  <si>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</si>
  <si>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</si>
  <si>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</si>
  <si>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</si>
  <si>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</si>
  <si>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</si>
  <si>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</si>
  <si>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</si>
  <si>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</si>
  <si>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</si>
  <si>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</si>
  <si>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</si>
  <si>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</si>
  <si>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</si>
  <si>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</si>
  <si>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</si>
  <si>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</si>
  <si>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</si>
  <si>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</si>
  <si>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</si>
  <si>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</si>
  <si>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</si>
  <si>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</si>
  <si>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</si>
  <si>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</si>
  <si>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</si>
  <si>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</si>
  <si>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</si>
  <si>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</si>
  <si>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</si>
  <si>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</si>
  <si>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</si>
  <si>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</si>
  <si>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</si>
  <si>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</si>
  <si>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</si>
  <si>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</si>
  <si>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</si>
  <si>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</si>
  <si>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</si>
  <si>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</si>
  <si>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</si>
  <si>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</si>
  <si>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</si>
  <si>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</si>
  <si>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</si>
  <si>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</si>
  <si>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</si>
  <si>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</si>
  <si>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</si>
  <si>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</si>
  <si>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</si>
  <si>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</si>
  <si>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</si>
  <si>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</si>
  <si>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</si>
  <si>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</si>
  <si>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</si>
  <si>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</si>
  <si>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</si>
  <si>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</si>
  <si>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</si>
  <si>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</si>
  <si>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</si>
  <si>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</si>
  <si>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</si>
  <si>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</si>
  <si>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</si>
  <si>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</si>
  <si>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</si>
  <si>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</si>
  <si>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</si>
  <si>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</si>
  <si>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</si>
  <si>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</si>
  <si>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</si>
  <si>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</si>
  <si>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</si>
  <si>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</si>
  <si>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</si>
  <si>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</si>
  <si>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</si>
  <si>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</si>
  <si>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</si>
  <si>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</si>
  <si>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</si>
  <si>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</si>
  <si>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</si>
  <si>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</si>
  <si>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</si>
  <si>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</si>
  <si>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</si>
  <si>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</si>
  <si>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</si>
  <si>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</si>
  <si>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</si>
  <si>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</si>
  <si>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</si>
  <si>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</si>
  <si>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</si>
  <si>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</si>
  <si>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</si>
  <si>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</si>
  <si>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</si>
  <si>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</si>
  <si>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</si>
  <si>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</si>
  <si>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</si>
  <si>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</si>
  <si>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</si>
  <si>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</si>
  <si>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</si>
  <si>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</si>
  <si>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</si>
  <si>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</si>
  <si>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</si>
  <si>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</si>
  <si>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</si>
  <si>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</si>
  <si>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</si>
  <si>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</si>
  <si>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</si>
  <si>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</si>
  <si>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</si>
  <si>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</si>
  <si>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</si>
  <si>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</si>
  <si>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</si>
  <si>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</si>
  <si>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</si>
  <si>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</si>
  <si>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</si>
  <si>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</si>
  <si>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</si>
  <si>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</si>
  <si>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</si>
  <si>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</si>
  <si>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</si>
  <si>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</si>
  <si>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</si>
  <si>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</si>
  <si>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</si>
  <si>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</si>
  <si>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</si>
  <si>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</si>
  <si>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</si>
  <si>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</si>
  <si>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</si>
  <si>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</si>
  <si>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</si>
  <si>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</si>
  <si>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</si>
  <si>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</si>
  <si>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</si>
  <si>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</si>
  <si>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</si>
  <si>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</si>
  <si>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</si>
  <si>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</si>
  <si>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</si>
  <si>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</si>
  <si>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</si>
  <si>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</si>
  <si>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</si>
  <si>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</si>
  <si>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</si>
  <si>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</si>
  <si>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</si>
  <si>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</si>
  <si>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</si>
  <si>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</si>
  <si>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</si>
  <si>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</si>
  <si>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</si>
  <si>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</si>
  <si>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</si>
  <si>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</si>
  <si>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</si>
  <si>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</si>
  <si>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</si>
  <si>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</si>
  <si>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</si>
  <si>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</si>
  <si>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</si>
  <si>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</si>
  <si>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</si>
  <si>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</si>
  <si>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</si>
  <si>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</si>
  <si>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</si>
  <si>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</si>
  <si>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</si>
  <si>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</si>
  <si>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</si>
  <si>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</si>
  <si>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</si>
  <si>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</si>
  <si>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</si>
  <si>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</si>
  <si>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</si>
  <si>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</si>
  <si>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</si>
  <si>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</si>
  <si>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</si>
  <si>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</si>
  <si>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</si>
  <si>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</si>
  <si>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</si>
  <si>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</si>
  <si>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</si>
  <si>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</si>
  <si>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</si>
  <si>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</si>
  <si>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</si>
  <si>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</si>
  <si>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</si>
  <si>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</si>
  <si>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</si>
  <si>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</si>
  <si>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</si>
  <si>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</si>
  <si>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</si>
  <si>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</si>
  <si>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</si>
  <si>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</si>
  <si>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</si>
  <si>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</si>
  <si>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</si>
  <si>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</si>
  <si>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</si>
  <si>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</si>
  <si>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</si>
  <si>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</si>
  <si>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</si>
  <si>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</si>
  <si>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</si>
  <si>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</si>
  <si>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</si>
  <si>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</si>
  <si>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</si>
  <si>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</si>
  <si>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</si>
  <si>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</si>
  <si>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</si>
  <si>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</si>
  <si>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</si>
  <si>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</si>
  <si>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</si>
  <si>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</si>
  <si>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</si>
  <si>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</si>
  <si>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</si>
  <si>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</si>
  <si>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</si>
  <si>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</si>
  <si>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</si>
  <si>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</si>
  <si>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</si>
  <si>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</si>
  <si>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</si>
  <si>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</si>
  <si>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</si>
  <si>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</si>
  <si>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</si>
  <si>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</si>
  <si>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</si>
  <si>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</si>
  <si>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</si>
  <si>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</si>
  <si>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</si>
  <si>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</si>
  <si>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</si>
  <si>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</si>
  <si>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</si>
  <si>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</si>
  <si>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</si>
  <si>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</si>
  <si>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</si>
  <si>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</si>
  <si>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</si>
  <si>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</si>
  <si>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</si>
  <si>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</si>
  <si>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</si>
  <si>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</si>
  <si>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</si>
  <si>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</si>
  <si>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</si>
  <si>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</si>
  <si>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</si>
  <si>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</si>
  <si>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</si>
  <si>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</si>
  <si>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</si>
  <si>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</si>
  <si>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</si>
  <si>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</si>
  <si>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</si>
  <si>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</si>
  <si>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</si>
  <si>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</si>
  <si>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</si>
  <si>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</si>
  <si>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</si>
  <si>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</si>
  <si>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</si>
  <si>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</si>
  <si>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</si>
  <si>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</si>
  <si>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</si>
  <si>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</si>
  <si>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</si>
  <si>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</si>
  <si>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</si>
  <si>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</si>
  <si>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</si>
  <si>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</si>
  <si>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</si>
  <si>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</si>
  <si>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</si>
  <si>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</si>
  <si>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</si>
  <si>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</si>
  <si>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</si>
  <si>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</si>
  <si>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</si>
  <si>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</si>
  <si>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</si>
  <si>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</si>
  <si>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</si>
  <si>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</si>
  <si>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</si>
  <si>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</si>
  <si>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</si>
  <si>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</si>
  <si>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</si>
  <si>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</si>
  <si>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</si>
  <si>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</si>
  <si>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</si>
  <si>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</si>
  <si>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</si>
  <si>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</si>
  <si>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</si>
  <si>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</si>
  <si>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</si>
  <si>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</si>
  <si>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</si>
  <si>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</si>
  <si>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</si>
  <si>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</si>
  <si>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</si>
  <si>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</si>
  <si>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</si>
  <si>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</si>
  <si>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</si>
  <si>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</si>
  <si>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</si>
  <si>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</si>
  <si>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</si>
  <si>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</si>
  <si>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</si>
  <si>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</si>
  <si>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</si>
  <si>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</si>
  <si>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</si>
  <si>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</si>
  <si>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</si>
  <si>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</si>
  <si>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</si>
  <si>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</si>
  <si>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</si>
  <si>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</si>
  <si>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</si>
  <si>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</si>
  <si>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</si>
  <si>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</si>
  <si>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</si>
  <si>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</si>
  <si>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</si>
  <si>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</si>
  <si>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</si>
  <si>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</si>
  <si>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</si>
  <si>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</si>
  <si>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</si>
  <si>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</si>
  <si>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</si>
  <si>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</si>
  <si>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</si>
  <si>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</si>
  <si>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</si>
  <si>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</si>
  <si>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</si>
  <si>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</si>
  <si>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</si>
  <si>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</si>
  <si>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</si>
  <si>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</si>
  <si>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</si>
  <si>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</si>
  <si>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</si>
  <si>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</si>
  <si>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</si>
  <si>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</si>
  <si>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</si>
  <si>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</si>
  <si>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</si>
  <si>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</si>
  <si>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</si>
  <si>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</si>
  <si>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</si>
  <si>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</si>
  <si>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</si>
  <si>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</si>
  <si>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</si>
  <si>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</si>
  <si>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</si>
  <si>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</si>
  <si>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</si>
  <si>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</si>
  <si>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</si>
  <si>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</si>
  <si>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</si>
  <si>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</si>
  <si>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</si>
  <si>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</si>
  <si>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</si>
  <si>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</si>
  <si>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</si>
  <si>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</si>
  <si>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</si>
  <si>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</si>
  <si>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</si>
  <si>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</si>
  <si>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</si>
  <si>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</si>
  <si>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</si>
  <si>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</si>
  <si>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</si>
  <si>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</si>
  <si>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</si>
  <si>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</si>
  <si>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</si>
  <si>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</si>
  <si>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</si>
  <si>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</si>
  <si>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</si>
  <si>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</si>
  <si>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</si>
  <si>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</si>
  <si>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</si>
  <si>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</si>
  <si>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</si>
  <si>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</si>
  <si>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</si>
  <si>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</si>
  <si>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</si>
  <si>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</si>
  <si>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</si>
  <si>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</si>
  <si>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</si>
  <si>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</si>
  <si>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</si>
  <si>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</si>
  <si>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</si>
  <si>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</si>
  <si>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</si>
  <si>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</si>
  <si>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</si>
  <si>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</si>
  <si>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</si>
  <si>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</si>
  <si>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</si>
  <si>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</si>
  <si>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</si>
  <si>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</si>
  <si>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</si>
  <si>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</si>
  <si>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</si>
  <si>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</si>
  <si>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</si>
  <si>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</si>
  <si>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</si>
  <si>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</si>
  <si>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</si>
  <si>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</si>
  <si>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</si>
  <si>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</si>
  <si>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</si>
  <si>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</si>
  <si>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</si>
  <si>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</si>
  <si>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</si>
  <si>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</si>
  <si>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</si>
  <si>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</si>
  <si>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</si>
  <si>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</si>
  <si>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</si>
  <si>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</si>
  <si>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</si>
  <si>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</si>
  <si>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</si>
  <si>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</si>
  <si>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</si>
  <si>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</si>
  <si>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</si>
  <si>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</si>
  <si>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</si>
  <si>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</si>
  <si>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</si>
  <si>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</si>
  <si>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</si>
  <si>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</si>
  <si>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</si>
  <si>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</si>
  <si>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</si>
  <si>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</si>
  <si>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</si>
  <si>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</si>
  <si>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</si>
  <si>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</si>
  <si>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</si>
  <si>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</si>
  <si>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</si>
  <si>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</si>
  <si>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</si>
  <si>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</si>
  <si>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</si>
  <si>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</si>
  <si>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</si>
  <si>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</si>
  <si>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</si>
  <si>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</si>
  <si>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</si>
  <si>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</si>
  <si>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</si>
  <si>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</si>
  <si>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</si>
  <si>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</si>
  <si>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</si>
  <si>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</si>
  <si>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</si>
  <si>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</si>
  <si>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</si>
  <si>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</si>
  <si>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</si>
  <si>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</si>
  <si>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</si>
  <si>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</si>
  <si>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</si>
  <si>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</si>
  <si>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</si>
  <si>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</si>
  <si>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</si>
  <si>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</si>
  <si>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</si>
  <si>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</si>
  <si>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</si>
  <si>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</si>
  <si>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</si>
  <si>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</si>
  <si>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</si>
  <si>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</si>
  <si>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</si>
  <si>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</si>
  <si>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</si>
  <si>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</si>
  <si>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</si>
  <si>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</si>
  <si>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</si>
  <si>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</si>
  <si>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</si>
  <si>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</si>
  <si>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</si>
  <si>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</si>
  <si>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</si>
  <si>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</si>
  <si>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</si>
  <si>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</si>
  <si>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</si>
  <si>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</si>
  <si>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</si>
  <si>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</si>
  <si>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</si>
  <si>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</si>
  <si>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</si>
  <si>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</si>
  <si>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</si>
  <si>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</si>
  <si>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</si>
  <si>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</si>
  <si>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</si>
  <si>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</si>
  <si>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</si>
  <si>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</si>
  <si>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</si>
  <si>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</si>
  <si>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</si>
  <si>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</si>
  <si>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</si>
  <si>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</si>
  <si>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</si>
  <si>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</si>
  <si>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</si>
  <si>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</si>
  <si>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</si>
  <si>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</si>
  <si>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</si>
  <si>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</si>
  <si>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</si>
  <si>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</si>
  <si>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</si>
  <si>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</si>
  <si>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</si>
  <si>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</si>
  <si>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</si>
  <si>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</si>
  <si>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</si>
  <si>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</si>
  <si>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</si>
  <si>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</si>
  <si>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</si>
  <si>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</si>
  <si>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</si>
  <si>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</si>
  <si>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</si>
  <si>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</si>
  <si>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</si>
  <si>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</si>
  <si>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</si>
  <si>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</si>
  <si>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</si>
  <si>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</si>
  <si>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</si>
  <si>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</si>
  <si>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</si>
  <si>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</si>
  <si>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</si>
  <si>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</si>
  <si>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</si>
  <si>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</si>
  <si>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</si>
  <si>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</si>
  <si>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</si>
  <si>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</si>
  <si>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</si>
  <si>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</si>
  <si>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</si>
  <si>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</si>
  <si>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</si>
  <si>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</si>
  <si>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</si>
  <si>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</si>
  <si>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</si>
  <si>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</si>
  <si>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</si>
  <si>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</si>
  <si>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</si>
  <si>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</si>
  <si>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</si>
  <si>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</si>
  <si>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</si>
  <si>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</si>
  <si>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</si>
  <si>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</si>
  <si>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</si>
  <si>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</si>
  <si>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</si>
  <si>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</si>
  <si>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</si>
  <si>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</si>
  <si>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</si>
  <si>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</si>
  <si>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</si>
  <si>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</si>
  <si>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</si>
  <si>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</si>
  <si>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</si>
  <si>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</si>
  <si>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</si>
  <si>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</si>
  <si>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</si>
  <si>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</si>
  <si>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</si>
  <si>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</si>
  <si>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</si>
  <si>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</si>
  <si>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</si>
  <si>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</si>
  <si>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</si>
  <si>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</si>
  <si>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</si>
  <si>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</si>
  <si>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</si>
  <si>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</si>
  <si>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</si>
  <si>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</si>
  <si>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</si>
  <si>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</si>
  <si>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</si>
  <si>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</si>
  <si>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</si>
  <si>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</si>
  <si>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</si>
  <si>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</si>
  <si>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</si>
  <si>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</si>
  <si>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</si>
  <si>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</si>
  <si>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</si>
  <si>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</si>
  <si>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</si>
  <si>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</si>
  <si>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</si>
  <si>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</si>
  <si>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</si>
  <si>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</si>
  <si>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</si>
  <si>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</si>
  <si>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</si>
  <si>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</si>
  <si>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</si>
  <si>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</si>
  <si>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</si>
  <si>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</si>
  <si>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</si>
  <si>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</si>
  <si>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</si>
  <si>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</si>
  <si>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</si>
  <si>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</si>
  <si>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</si>
  <si>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</si>
  <si>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</si>
  <si>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</si>
  <si>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</si>
  <si>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</si>
  <si>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</si>
  <si>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</si>
  <si>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</si>
  <si>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</si>
  <si>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</si>
  <si>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</si>
  <si>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</si>
  <si>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</si>
  <si>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</si>
  <si>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</si>
  <si>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</si>
  <si>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</si>
  <si>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</si>
  <si>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</si>
  <si>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</si>
  <si>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</si>
  <si>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</si>
  <si>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</si>
  <si>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</si>
  <si>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</si>
  <si>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</si>
  <si>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</si>
  <si>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</si>
  <si>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</si>
  <si>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</si>
  <si>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</si>
  <si>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</si>
  <si>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</si>
  <si>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</si>
  <si>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</si>
  <si>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</si>
  <si>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</si>
  <si>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</si>
  <si>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</si>
  <si>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</si>
  <si>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</si>
  <si>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</si>
  <si>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</si>
  <si>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</si>
  <si>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</si>
  <si>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</si>
  <si>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</si>
  <si>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</si>
  <si>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</si>
  <si>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</si>
  <si>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</si>
  <si>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</si>
  <si>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</si>
  <si>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</si>
  <si>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</si>
  <si>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</si>
  <si>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</si>
  <si>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</si>
  <si>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</si>
  <si>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</si>
  <si>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</si>
  <si>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</si>
  <si>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</si>
  <si>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</si>
  <si>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</si>
  <si>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</si>
  <si>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</si>
  <si>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</si>
  <si>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</si>
  <si>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</si>
  <si>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</si>
  <si>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</si>
  <si>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</si>
  <si>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</si>
  <si>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</si>
  <si>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</si>
  <si>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</si>
  <si>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</si>
  <si>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</si>
  <si>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</si>
  <si>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</si>
  <si>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</si>
  <si>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</si>
  <si>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</si>
  <si>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</si>
  <si>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</si>
  <si>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</si>
  <si>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</si>
  <si>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</si>
  <si>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</si>
  <si>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</si>
  <si>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</si>
  <si>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</si>
  <si>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</si>
  <si>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</si>
  <si>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</si>
  <si>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</si>
  <si>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</si>
  <si>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</si>
  <si>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</si>
  <si>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</si>
  <si>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</si>
  <si>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</si>
  <si>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</si>
  <si>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</si>
  <si>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</si>
  <si>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</si>
  <si>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</si>
  <si>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</si>
  <si>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</si>
  <si>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</si>
  <si>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</si>
  <si>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</si>
  <si>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</si>
  <si>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</si>
  <si>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</si>
  <si>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</si>
  <si>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</si>
  <si>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</si>
  <si>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</si>
  <si>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</si>
  <si>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</si>
  <si>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</si>
  <si>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</si>
  <si>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</si>
  <si>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</si>
  <si>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</si>
  <si>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</si>
  <si>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</si>
  <si>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</si>
  <si>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</si>
  <si>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</si>
  <si>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</si>
  <si>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</si>
  <si>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</si>
  <si>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</si>
  <si>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</si>
  <si>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</si>
  <si>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</si>
  <si>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</si>
  <si>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</si>
  <si>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</si>
  <si>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</si>
  <si>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</si>
  <si>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</si>
  <si>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</si>
  <si>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</si>
  <si>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</si>
  <si>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</si>
  <si>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</si>
  <si>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</si>
  <si>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</si>
  <si>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</si>
  <si>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</si>
  <si>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</si>
  <si>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</si>
  <si>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</si>
  <si>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</si>
  <si>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</si>
  <si>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</si>
  <si>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</si>
  <si>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</si>
  <si>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</si>
  <si>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</si>
  <si>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</si>
  <si>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</si>
  <si>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</si>
  <si>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</si>
  <si>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</si>
  <si>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</si>
  <si>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</si>
  <si>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</si>
  <si>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</si>
  <si>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</si>
  <si>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</si>
  <si>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</si>
  <si>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</si>
  <si>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</si>
  <si>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</si>
  <si>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</si>
  <si>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</si>
  <si>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</si>
  <si>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</si>
  <si>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</si>
  <si>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</si>
  <si>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</si>
  <si>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</si>
  <si>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</si>
  <si>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</si>
  <si>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</si>
  <si>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</si>
  <si>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</si>
  <si>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</si>
  <si>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</si>
  <si>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</si>
  <si>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</si>
  <si>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</si>
  <si>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</si>
  <si>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</si>
  <si>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</si>
  <si>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</si>
  <si>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</si>
  <si>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</si>
  <si>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</si>
  <si>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</si>
  <si>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</si>
  <si>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</si>
  <si>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</si>
  <si>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</si>
  <si>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</si>
  <si>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</si>
  <si>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</si>
  <si>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</si>
  <si>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</si>
  <si>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</si>
  <si>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</si>
  <si>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</si>
  <si>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</si>
  <si>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</si>
  <si>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</si>
  <si>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</si>
  <si>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</si>
  <si>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</si>
  <si>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</si>
  <si>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</si>
  <si>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</si>
  <si>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</si>
  <si>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</si>
  <si>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</si>
  <si>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</si>
  <si>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</si>
  <si>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</si>
  <si>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</si>
  <si>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</si>
  <si>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</si>
  <si>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</si>
  <si>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</si>
  <si>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</si>
  <si>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</si>
  <si>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</si>
  <si>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</si>
  <si>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</si>
  <si>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</si>
  <si>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</si>
  <si>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</si>
  <si>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</si>
  <si>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</si>
  <si>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</si>
  <si>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</si>
  <si>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</si>
  <si>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</si>
  <si>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</si>
  <si>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</si>
  <si>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</si>
  <si>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</si>
  <si>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</si>
  <si>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</si>
  <si>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</si>
  <si>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</si>
  <si>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</si>
  <si>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</si>
  <si>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</si>
  <si>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</si>
  <si>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</si>
  <si>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</si>
  <si>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</si>
  <si>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</si>
  <si>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</si>
  <si>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</si>
  <si>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</si>
  <si>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</si>
  <si>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</si>
  <si>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</si>
  <si>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</si>
  <si>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</si>
  <si>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</si>
  <si>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</si>
  <si>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</si>
  <si>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</si>
  <si>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</si>
  <si>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</si>
  <si>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</si>
  <si>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</si>
  <si>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</si>
  <si>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</si>
  <si>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</si>
  <si>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</si>
  <si>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</si>
  <si>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</si>
  <si>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</si>
  <si>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</si>
  <si>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</si>
  <si>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</si>
  <si>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</si>
  <si>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</si>
  <si>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</si>
  <si>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</si>
  <si>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</si>
  <si>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</si>
  <si>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</si>
  <si>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</si>
  <si>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</si>
  <si>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</si>
  <si>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</si>
  <si>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</si>
  <si>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</si>
  <si>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</si>
  <si>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</si>
  <si>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</si>
  <si>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</si>
  <si>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</si>
  <si>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</si>
  <si>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</si>
  <si>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</si>
  <si>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</si>
  <si>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</si>
  <si>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</si>
  <si>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</si>
  <si>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</si>
  <si>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</si>
  <si>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</si>
  <si>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</si>
  <si>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</si>
  <si>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</si>
  <si>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</si>
  <si>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</si>
  <si>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</si>
  <si>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</si>
  <si>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</si>
  <si>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</si>
  <si>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</si>
  <si>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</si>
  <si>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</si>
  <si>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</si>
  <si>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</si>
  <si>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</si>
  <si>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</si>
  <si>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</si>
  <si>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</si>
  <si>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</si>
  <si>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</si>
  <si>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</si>
  <si>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</si>
  <si>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</si>
  <si>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</si>
  <si>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</si>
  <si>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</si>
  <si>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</si>
  <si>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</si>
  <si>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</si>
  <si>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</si>
  <si>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</si>
  <si>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</si>
  <si>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</si>
  <si>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</si>
  <si>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</si>
  <si>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</si>
  <si>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</si>
  <si>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</si>
  <si>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</si>
  <si>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</si>
  <si>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</si>
  <si>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</si>
  <si>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</si>
  <si>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</si>
  <si>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</si>
  <si>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</si>
  <si>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</si>
  <si>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</si>
  <si>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</si>
  <si>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</si>
  <si>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</si>
  <si>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</si>
  <si>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</si>
  <si>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</si>
  <si>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</si>
  <si>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</si>
  <si>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</si>
  <si>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</si>
  <si>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</si>
  <si>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</si>
  <si>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</si>
  <si>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</si>
  <si>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</si>
  <si>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</si>
  <si>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</si>
  <si>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</si>
  <si>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</si>
  <si>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</si>
  <si>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</si>
  <si>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</si>
  <si>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</si>
  <si>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</si>
  <si>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</si>
  <si>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</si>
  <si>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</si>
  <si>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</si>
  <si>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</si>
  <si>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</si>
  <si>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</si>
  <si>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</si>
  <si>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</si>
  <si>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</si>
  <si>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</si>
  <si>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</si>
  <si>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</si>
  <si>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</si>
  <si>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</si>
  <si>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</si>
  <si>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</si>
  <si>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</si>
  <si>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</si>
  <si>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</si>
  <si>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</si>
  <si>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</si>
  <si>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</si>
  <si>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</si>
  <si>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</si>
  <si>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</si>
  <si>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</si>
  <si>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</si>
  <si>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</si>
  <si>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</si>
  <si>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</si>
  <si>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</si>
  <si>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</si>
  <si>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</si>
  <si>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</si>
  <si>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</si>
  <si>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</si>
  <si>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</si>
  <si>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</si>
  <si>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</si>
  <si>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</si>
  <si>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</si>
  <si>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</si>
  <si>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</si>
  <si>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</si>
  <si>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</si>
  <si>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</si>
  <si>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</si>
  <si>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</si>
  <si>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</si>
  <si>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</si>
  <si>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</si>
  <si>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</si>
  <si>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</si>
  <si>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</si>
  <si>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</si>
  <si>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</si>
  <si>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</si>
  <si>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</si>
  <si>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</si>
  <si>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</si>
  <si>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</si>
  <si>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</si>
  <si>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</si>
  <si>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</si>
  <si>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</si>
  <si>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</si>
  <si>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</si>
  <si>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</si>
  <si>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</si>
  <si>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</si>
  <si>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</si>
  <si>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</si>
  <si>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</si>
  <si>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</si>
  <si>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</si>
  <si>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</si>
  <si>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</si>
  <si>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</si>
  <si>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</si>
  <si>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</si>
  <si>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</si>
  <si>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</si>
  <si>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</si>
  <si>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</si>
  <si>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</si>
  <si>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</si>
  <si>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</si>
  <si>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</si>
  <si>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</si>
  <si>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</si>
  <si>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</si>
  <si>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</si>
  <si>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</si>
  <si>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</si>
  <si>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</si>
  <si>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</si>
  <si>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</si>
  <si>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</si>
  <si>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</si>
  <si>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</si>
  <si>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</si>
  <si>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</si>
  <si>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</si>
  <si>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</si>
  <si>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</si>
  <si>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</si>
  <si>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</si>
  <si>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</si>
  <si>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</si>
  <si>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</si>
  <si>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</si>
  <si>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</si>
  <si>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</si>
  <si>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</si>
  <si>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</si>
  <si>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</si>
  <si>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</si>
  <si>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</si>
  <si>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</si>
  <si>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</si>
  <si>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</si>
  <si>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</si>
  <si>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</si>
  <si>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</si>
  <si>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</si>
  <si>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</si>
  <si>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</si>
  <si>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</si>
  <si>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</si>
  <si>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</si>
  <si>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</si>
  <si>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</si>
  <si>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</si>
  <si>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</si>
  <si>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</si>
  <si>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</si>
  <si>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</si>
  <si>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</si>
  <si>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</si>
  <si>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</si>
  <si>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</si>
  <si>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</si>
  <si>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</si>
  <si>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</si>
  <si>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</si>
  <si>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</si>
  <si>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</si>
  <si>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</si>
  <si>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</si>
  <si>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</si>
  <si>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</si>
  <si>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</si>
  <si>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</si>
  <si>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</si>
  <si>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</si>
  <si>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</si>
  <si>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</si>
  <si>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</si>
  <si>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</si>
  <si>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</si>
  <si>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</si>
  <si>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</si>
  <si>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</si>
  <si>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</si>
  <si>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</si>
  <si>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</si>
  <si>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</si>
  <si>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</si>
  <si>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</si>
  <si>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</si>
  <si>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</si>
  <si>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</si>
  <si>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</si>
  <si>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</si>
  <si>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</si>
  <si>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</si>
  <si>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</si>
  <si>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</si>
  <si>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</si>
  <si>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</si>
  <si>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</si>
  <si>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</si>
  <si>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</si>
  <si>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</si>
  <si>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</si>
  <si>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</si>
  <si>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</si>
  <si>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</si>
  <si>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</si>
  <si>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</si>
  <si>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</si>
  <si>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</si>
  <si>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</si>
  <si>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</si>
  <si>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</si>
  <si>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</si>
  <si>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</si>
  <si>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</si>
  <si>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</si>
  <si>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</si>
  <si>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</si>
  <si>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</si>
  <si>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</si>
  <si>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</si>
  <si>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</si>
  <si>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</si>
  <si>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</si>
  <si>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</si>
  <si>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</si>
  <si>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</si>
  <si>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</si>
  <si>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</si>
  <si>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</si>
  <si>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</si>
  <si>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</si>
  <si>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</si>
  <si>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</si>
  <si>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</si>
  <si>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</si>
  <si>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</si>
  <si>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</si>
  <si>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</si>
  <si>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</si>
  <si>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</si>
  <si>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</si>
  <si>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</si>
  <si>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</si>
  <si>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</si>
  <si>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</si>
  <si>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</si>
  <si>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</si>
  <si>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</si>
  <si>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</si>
  <si>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</si>
  <si>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</si>
  <si>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</si>
  <si>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</si>
  <si>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</si>
  <si>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</si>
  <si>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</si>
  <si>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</si>
  <si>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</si>
  <si>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</si>
  <si>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</si>
  <si>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</si>
  <si>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</si>
  <si>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</si>
  <si>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</si>
  <si>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</si>
  <si>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</si>
  <si>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</si>
  <si>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</si>
  <si>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</si>
  <si>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</si>
  <si>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</si>
  <si>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</si>
  <si>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</si>
  <si>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</si>
  <si>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</si>
  <si>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</si>
  <si>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</si>
  <si>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</si>
  <si>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</si>
  <si>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</si>
  <si>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</si>
  <si>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</si>
  <si>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</si>
  <si>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</si>
  <si>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</si>
  <si>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</si>
  <si>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</si>
  <si>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</si>
  <si>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</si>
  <si>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</si>
  <si>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</si>
  <si>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</si>
  <si>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</si>
  <si>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</si>
  <si>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</si>
  <si>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</si>
  <si>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</si>
  <si>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</si>
  <si>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</si>
  <si>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</si>
  <si>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</si>
  <si>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</si>
  <si>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</si>
  <si>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</si>
  <si>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</si>
  <si>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</si>
  <si>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</si>
  <si>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</si>
  <si>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</si>
  <si>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</si>
  <si>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</si>
  <si>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</si>
  <si>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</si>
  <si>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</si>
  <si>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</si>
  <si>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</si>
  <si>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</si>
  <si>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</si>
  <si>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</si>
  <si>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</si>
  <si>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</si>
  <si>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</si>
  <si>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</si>
  <si>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</si>
  <si>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</si>
  <si>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</si>
  <si>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</si>
  <si>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</si>
  <si>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</si>
  <si>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</si>
  <si>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</si>
  <si>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</si>
  <si>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</si>
  <si>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</si>
  <si>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</si>
  <si>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</si>
  <si>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</si>
  <si>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</si>
  <si>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</si>
  <si>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</si>
  <si>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</si>
  <si>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</si>
  <si>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</si>
  <si>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</si>
  <si>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</si>
  <si>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</si>
  <si>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</si>
  <si>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</si>
  <si>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</si>
  <si>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</si>
  <si>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</si>
  <si>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</si>
  <si>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</si>
  <si>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</si>
  <si>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</si>
  <si>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</si>
  <si>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</si>
  <si>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</si>
  <si>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</si>
  <si>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</si>
  <si>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</si>
  <si>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</si>
  <si>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</si>
  <si>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</si>
  <si>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</si>
  <si>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</si>
  <si>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</si>
  <si>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</si>
  <si>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</si>
  <si>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</si>
  <si>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</si>
  <si>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</si>
  <si>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</si>
  <si>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</si>
  <si>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</si>
  <si>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</si>
  <si>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</si>
  <si>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</si>
  <si>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</si>
  <si>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</si>
  <si>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</si>
  <si>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</si>
  <si>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</si>
  <si>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</si>
  <si>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</si>
  <si>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</si>
  <si>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</si>
  <si>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</si>
  <si>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</si>
  <si>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</si>
  <si>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</si>
  <si>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</si>
  <si>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</si>
  <si>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</si>
  <si>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</si>
  <si>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</si>
  <si>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</si>
  <si>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</si>
  <si>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</si>
  <si>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</si>
  <si>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</si>
  <si>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</si>
  <si>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</si>
  <si>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</si>
  <si>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</si>
  <si>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</si>
  <si>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</si>
  <si>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</si>
  <si>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</si>
  <si>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</si>
  <si>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</si>
  <si>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</si>
  <si>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</si>
  <si>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</si>
  <si>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</si>
  <si>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</si>
  <si>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</si>
  <si>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</si>
  <si>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</si>
  <si>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</si>
  <si>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</si>
  <si>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</si>
  <si>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</si>
  <si>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</si>
  <si>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</si>
  <si>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</si>
  <si>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</si>
  <si>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</si>
  <si>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</si>
  <si>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</si>
  <si>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</si>
  <si>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</si>
  <si>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</si>
  <si>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</si>
  <si>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</si>
  <si>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</si>
  <si>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</si>
  <si>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</si>
  <si>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</si>
  <si>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</si>
  <si>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</si>
  <si>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</si>
  <si>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</si>
  <si>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</si>
  <si>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</si>
  <si>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</si>
  <si>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</si>
  <si>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</si>
  <si>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</si>
  <si>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</si>
  <si>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</si>
  <si>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</si>
  <si>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</si>
  <si>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</si>
  <si>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</si>
  <si>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</si>
  <si>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</si>
  <si>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</si>
  <si>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</si>
  <si>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</si>
  <si>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</si>
  <si>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</si>
  <si>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</si>
  <si>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</si>
  <si>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</si>
  <si>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</si>
  <si>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</si>
  <si>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</si>
  <si>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</si>
  <si>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</si>
  <si>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</si>
  <si>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</si>
  <si>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</si>
  <si>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</si>
  <si>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</si>
  <si>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</si>
  <si>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</si>
  <si>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</si>
  <si>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</si>
  <si>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</si>
  <si>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</si>
  <si>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</si>
  <si>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</si>
  <si>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</si>
  <si>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</si>
  <si>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</si>
  <si>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</si>
  <si>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</si>
  <si>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</si>
  <si>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</si>
  <si>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</si>
  <si>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</si>
  <si>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</si>
  <si>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</si>
  <si>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</si>
  <si>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</si>
  <si>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</si>
  <si>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</si>
  <si>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</si>
  <si>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</si>
  <si>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</si>
  <si>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</si>
  <si>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</si>
  <si>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</si>
  <si>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</si>
  <si>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</si>
  <si>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</si>
  <si>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</si>
  <si>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</si>
  <si>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</si>
  <si>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</si>
  <si>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</si>
  <si>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</si>
  <si>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</si>
  <si>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</si>
  <si>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</si>
  <si>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</si>
  <si>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</si>
  <si>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</si>
  <si>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</si>
  <si>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</si>
  <si>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</si>
  <si>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</si>
  <si>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</si>
  <si>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</si>
  <si>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</si>
  <si>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</si>
  <si>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</si>
  <si>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</si>
  <si>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</si>
  <si>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</si>
  <si>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</si>
  <si>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</si>
  <si>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</si>
  <si>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</si>
  <si>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</si>
  <si>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</si>
  <si>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</si>
  <si>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</si>
  <si>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</si>
  <si>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</si>
  <si>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</si>
  <si>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</si>
  <si>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</si>
  <si>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</si>
  <si>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</si>
  <si>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</si>
  <si>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</si>
  <si>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</si>
  <si>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</si>
  <si>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</si>
  <si>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</si>
  <si>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</si>
  <si>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</si>
  <si>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</si>
  <si>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</si>
  <si>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</si>
  <si>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</si>
  <si>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</si>
  <si>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</si>
  <si>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</si>
  <si>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</si>
  <si>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</si>
  <si>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</si>
  <si>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</si>
  <si>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</si>
  <si>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</si>
  <si>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</si>
  <si>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</si>
  <si>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</si>
  <si>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</si>
  <si>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</si>
  <si>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</si>
  <si>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</si>
  <si>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</si>
  <si>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</si>
  <si>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</si>
  <si>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</si>
  <si>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</si>
  <si>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</si>
  <si>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</si>
  <si>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</si>
  <si>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</si>
  <si>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</si>
  <si>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</si>
  <si>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</si>
  <si>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</si>
  <si>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</si>
  <si>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</si>
  <si>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</si>
  <si>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</si>
  <si>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</si>
  <si>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</si>
  <si>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</si>
  <si>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</si>
  <si>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</si>
  <si>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</si>
  <si>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</si>
  <si>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</si>
  <si>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</si>
  <si>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</si>
  <si>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</si>
  <si>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</si>
  <si>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</si>
  <si>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</si>
  <si>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</si>
  <si>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</si>
  <si>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</si>
  <si>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</si>
  <si>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</si>
  <si>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</si>
  <si>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</si>
  <si>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</si>
  <si>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</si>
  <si>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</si>
  <si>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</si>
  <si>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</si>
  <si>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</si>
  <si>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</si>
  <si>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</si>
  <si>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</si>
  <si>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</si>
  <si>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</si>
  <si>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</si>
  <si>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</si>
  <si>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</si>
  <si>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</si>
  <si>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</si>
  <si>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</si>
  <si>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</si>
  <si>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</si>
  <si>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</si>
  <si>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</si>
  <si>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</si>
  <si>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</si>
  <si>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</si>
  <si>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</si>
  <si>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</si>
  <si>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</si>
  <si>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</si>
  <si>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</si>
  <si>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</si>
  <si>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</si>
  <si>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</si>
  <si>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</si>
  <si>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</si>
  <si>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</si>
  <si>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</si>
  <si>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</si>
  <si>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</si>
  <si>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</si>
  <si>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</si>
  <si>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</si>
  <si>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</si>
  <si>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</si>
  <si>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</si>
  <si>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</si>
  <si>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</si>
  <si>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</si>
  <si>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</si>
  <si>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</si>
  <si>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</si>
  <si>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</si>
  <si>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</si>
  <si>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</si>
  <si>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</si>
  <si>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</si>
  <si>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</si>
  <si>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</si>
  <si>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</si>
  <si>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</si>
  <si>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</si>
  <si>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</si>
  <si>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</si>
  <si>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</si>
  <si>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</si>
  <si>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</si>
  <si>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</si>
  <si>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</si>
  <si>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</si>
  <si>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</si>
  <si>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</si>
  <si>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</si>
  <si>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</si>
  <si>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</si>
  <si>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</si>
  <si>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</si>
  <si>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</si>
  <si>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</si>
  <si>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</si>
  <si>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</si>
  <si>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</si>
  <si>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</si>
  <si>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</si>
  <si>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</si>
  <si>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</si>
  <si>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</si>
  <si>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</si>
  <si>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</si>
  <si>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</si>
  <si>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</si>
  <si>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</si>
  <si>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</si>
  <si>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</si>
  <si>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</si>
  <si>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</si>
  <si>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</si>
  <si>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</si>
  <si>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</si>
  <si>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</si>
  <si>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</si>
  <si>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</si>
  <si>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</si>
  <si>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</si>
  <si>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</si>
  <si>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</si>
  <si>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</si>
  <si>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</si>
  <si>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</si>
  <si>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</si>
  <si>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</si>
  <si>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</si>
  <si>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</si>
  <si>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</si>
  <si>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</si>
  <si>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</si>
  <si>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</si>
  <si>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</si>
  <si>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</si>
  <si>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</si>
  <si>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</si>
  <si>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</si>
  <si>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</si>
  <si>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</si>
  <si>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</si>
  <si>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</si>
  <si>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</si>
  <si>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</si>
  <si>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</si>
  <si>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</si>
  <si>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</si>
  <si>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</si>
  <si>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</si>
  <si>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</si>
  <si>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</si>
  <si>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</si>
  <si>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</si>
  <si>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</si>
  <si>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</si>
  <si>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</si>
  <si>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</si>
  <si>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</si>
  <si>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</si>
  <si>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</si>
  <si>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</si>
  <si>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</si>
  <si>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</si>
  <si>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</si>
  <si>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</si>
  <si>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</si>
  <si>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</si>
  <si>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</si>
  <si>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</si>
  <si>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</si>
  <si>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</si>
  <si>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</si>
  <si>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</si>
  <si>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</si>
  <si>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</si>
  <si>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</si>
  <si>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</si>
  <si>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</si>
  <si>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</si>
  <si>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</si>
  <si>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</si>
  <si>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</si>
  <si>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</si>
  <si>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</si>
  <si>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</si>
  <si>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</si>
  <si>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</si>
  <si>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</si>
  <si>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</si>
  <si>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</si>
  <si>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</si>
  <si>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</si>
  <si>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</si>
  <si>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</si>
  <si>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</si>
  <si>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</si>
  <si>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</si>
  <si>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</si>
  <si>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</si>
  <si>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</si>
  <si>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</si>
  <si>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</si>
  <si>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</si>
  <si>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</si>
  <si>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</si>
  <si>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</si>
  <si>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</si>
  <si>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</si>
  <si>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</si>
  <si>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</si>
  <si>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</si>
  <si>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</si>
  <si>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</si>
  <si>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</si>
  <si>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</si>
  <si>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</si>
  <si>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</si>
  <si>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</si>
  <si>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</si>
  <si>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</si>
  <si>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</si>
  <si>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</si>
  <si>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</si>
  <si>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</si>
  <si>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</si>
  <si>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</si>
  <si>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</si>
  <si>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</si>
  <si>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</si>
  <si>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</si>
  <si>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</si>
  <si>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</si>
  <si>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</si>
  <si>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</si>
  <si>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</si>
  <si>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</si>
  <si>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</si>
  <si>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</si>
  <si>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</si>
  <si>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</si>
  <si>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</si>
  <si>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</si>
  <si>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</si>
  <si>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</si>
  <si>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</si>
  <si>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</si>
  <si>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</si>
  <si>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</si>
  <si>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</si>
  <si>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</si>
  <si>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</si>
  <si>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</si>
  <si>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</si>
  <si>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</si>
  <si>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</si>
  <si>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</si>
  <si>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</si>
  <si>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</si>
  <si>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</si>
  <si>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</si>
  <si>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</si>
  <si>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</si>
  <si>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</si>
  <si>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</si>
  <si>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</si>
  <si>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</si>
  <si>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</si>
  <si>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</si>
  <si>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</si>
  <si>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</si>
  <si>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</si>
  <si>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</si>
  <si>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</si>
  <si>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</si>
  <si>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</si>
  <si>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</si>
  <si>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</si>
  <si>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</si>
  <si>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</si>
  <si>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</si>
  <si>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</si>
  <si>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</si>
  <si>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</si>
  <si>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</si>
  <si>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</si>
  <si>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</si>
  <si>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</si>
  <si>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</si>
  <si>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</si>
  <si>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</si>
  <si>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</si>
  <si>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</si>
  <si>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</si>
  <si>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</si>
  <si>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</si>
  <si>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</si>
  <si>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</si>
  <si>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</si>
  <si>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</si>
  <si>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</si>
  <si>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</si>
  <si>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</si>
  <si>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</si>
  <si>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</si>
  <si>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</si>
  <si>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</si>
  <si>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</si>
  <si>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</si>
  <si>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</si>
  <si>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</si>
  <si>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</si>
  <si>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</si>
  <si>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</si>
  <si>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</si>
  <si>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</si>
  <si>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</si>
  <si>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</si>
  <si>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</si>
  <si>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</si>
  <si>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</si>
  <si>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</si>
  <si>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</si>
  <si>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</si>
  <si>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</si>
  <si>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</si>
  <si>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</si>
  <si>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</si>
  <si>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</si>
  <si>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</si>
  <si>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</si>
  <si>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</si>
  <si>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</si>
  <si>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</si>
  <si>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</si>
  <si>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</si>
  <si>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</si>
  <si>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</si>
  <si>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</si>
  <si>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</si>
  <si>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</si>
  <si>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</si>
  <si>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</si>
  <si>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</si>
  <si>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</si>
  <si>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</si>
  <si>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</si>
  <si>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</si>
  <si>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</si>
  <si>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</si>
  <si>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</si>
  <si>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</si>
  <si>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</si>
  <si>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</si>
  <si>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</si>
  <si>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</si>
  <si>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</si>
  <si>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</si>
  <si>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</si>
  <si>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</si>
  <si>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</si>
  <si>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</si>
  <si>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</si>
  <si>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</si>
  <si>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</si>
  <si>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</si>
  <si>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</si>
  <si>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</si>
  <si>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</si>
  <si>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</si>
  <si>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</si>
  <si>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</si>
  <si>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</si>
  <si>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</si>
  <si>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</si>
  <si>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</si>
  <si>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</si>
  <si>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</si>
  <si>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</si>
  <si>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</si>
  <si>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</si>
  <si>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</si>
  <si>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</si>
  <si>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</si>
  <si>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</si>
  <si>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</si>
  <si>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</si>
  <si>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</si>
  <si>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</si>
  <si>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</si>
  <si>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</si>
  <si>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</si>
  <si>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</si>
  <si>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</si>
  <si>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</si>
  <si>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</si>
  <si>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</si>
  <si>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</si>
  <si>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</si>
  <si>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</si>
  <si>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</si>
  <si>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</si>
  <si>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</si>
  <si>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</si>
  <si>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</si>
  <si>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</si>
  <si>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</si>
  <si>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</si>
  <si>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</si>
  <si>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</si>
  <si>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</si>
  <si>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</si>
  <si>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</si>
  <si>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</si>
  <si>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</si>
  <si>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</si>
  <si>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</si>
  <si>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</si>
  <si>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</si>
  <si>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</si>
  <si>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</si>
  <si>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</si>
  <si>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</si>
  <si>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</si>
  <si>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</si>
  <si>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</si>
  <si>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</si>
  <si>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</si>
  <si>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</si>
  <si>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</si>
  <si>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</si>
  <si>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</si>
  <si>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</si>
  <si>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</si>
  <si>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</si>
  <si>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</si>
  <si>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</si>
  <si>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</si>
  <si>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</si>
  <si>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</si>
  <si>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</si>
  <si>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</si>
  <si>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</si>
  <si>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</si>
  <si>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</si>
  <si>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</si>
  <si>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</si>
  <si>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</si>
  <si>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</si>
  <si>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</si>
  <si>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</si>
  <si>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</si>
  <si>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</si>
  <si>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</si>
  <si>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</si>
  <si>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</si>
  <si>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</si>
  <si>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</si>
  <si>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</si>
  <si>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</si>
  <si>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</si>
  <si>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</si>
  <si>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</si>
  <si>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</si>
  <si>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</si>
  <si>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</si>
  <si>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</si>
  <si>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</si>
  <si>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</si>
  <si>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</si>
  <si>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</si>
  <si>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</si>
  <si>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</si>
  <si>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</si>
  <si>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</si>
  <si>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</si>
  <si>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</si>
  <si>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</si>
  <si>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</si>
  <si>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</si>
  <si>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</si>
  <si>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</si>
  <si>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</si>
  <si>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</si>
  <si>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</si>
  <si>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</si>
  <si>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</si>
  <si>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</si>
  <si>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</si>
  <si>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</si>
  <si>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</si>
  <si>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</si>
  <si>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</si>
  <si>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</si>
  <si>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</si>
  <si>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</si>
  <si>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</si>
  <si>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</si>
  <si>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</si>
  <si>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</si>
  <si>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</si>
  <si>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</si>
  <si>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</si>
  <si>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</si>
  <si>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</si>
  <si>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</si>
  <si>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</si>
  <si>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</si>
  <si>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</si>
  <si>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</si>
  <si>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</si>
  <si>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</si>
  <si>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</si>
  <si>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</si>
  <si>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</si>
  <si>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</si>
  <si>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</si>
  <si>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</si>
  <si>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</si>
  <si>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</si>
  <si>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</si>
  <si>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</si>
  <si>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</si>
  <si>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</si>
  <si>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</si>
  <si>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</si>
  <si>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</si>
  <si>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</si>
  <si>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</si>
  <si>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</si>
  <si>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</si>
  <si>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</si>
  <si>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</si>
  <si>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</si>
  <si>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</si>
  <si>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</si>
  <si>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</si>
  <si>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</si>
  <si>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</si>
  <si>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</si>
  <si>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</si>
  <si>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</si>
  <si>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</si>
  <si>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</si>
  <si>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</si>
  <si>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</si>
  <si>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</si>
  <si>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</si>
  <si>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</si>
  <si>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</si>
  <si>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</si>
  <si>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</si>
  <si>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</si>
  <si>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</si>
  <si>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</si>
  <si>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</si>
  <si>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</si>
  <si>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</si>
  <si>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</si>
  <si>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</si>
  <si>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</si>
  <si>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</si>
  <si>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</si>
  <si>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</si>
  <si>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</si>
  <si>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</si>
  <si>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</si>
  <si>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</si>
  <si>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</si>
  <si>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</si>
  <si>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</si>
  <si>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</si>
  <si>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</si>
  <si>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</si>
  <si>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</si>
  <si>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</si>
  <si>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</si>
  <si>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</si>
  <si>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</si>
  <si>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</si>
  <si>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</si>
  <si>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</si>
  <si>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</si>
  <si>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</si>
  <si>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</si>
  <si>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</si>
  <si>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</si>
  <si>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</si>
  <si>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</si>
  <si>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</si>
  <si>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</si>
  <si>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</si>
  <si>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</si>
  <si>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</si>
  <si>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</si>
  <si>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</si>
  <si>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</si>
  <si>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</si>
  <si>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</si>
  <si>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</si>
  <si>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</si>
  <si>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</si>
  <si>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</si>
  <si>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</si>
  <si>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</si>
  <si>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</si>
  <si>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</si>
  <si>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</si>
  <si>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</si>
  <si>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</si>
  <si>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</si>
  <si>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</si>
  <si>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</si>
  <si>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</si>
  <si>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</si>
  <si>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</si>
  <si>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</si>
  <si>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</si>
  <si>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</si>
  <si>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</si>
  <si>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</si>
  <si>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</si>
  <si>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</si>
  <si>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</si>
  <si>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</si>
  <si>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</si>
  <si>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</si>
  <si>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</si>
  <si>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</si>
  <si>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</si>
  <si>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</si>
  <si>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</si>
  <si>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</si>
  <si>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</si>
  <si>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</si>
  <si>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</si>
  <si>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</si>
  <si>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</si>
  <si>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</si>
  <si>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</si>
  <si>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</si>
  <si>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</si>
  <si>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</si>
  <si>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</si>
  <si>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</si>
  <si>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</si>
  <si>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</si>
  <si>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</si>
  <si>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</si>
  <si>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</si>
  <si>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</si>
  <si>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</si>
  <si>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</si>
  <si>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</si>
  <si>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</si>
  <si>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</si>
  <si>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</si>
  <si>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</si>
  <si>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</si>
  <si>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</si>
  <si>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</si>
  <si>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</si>
  <si>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</si>
  <si>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</si>
  <si>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</si>
  <si>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</si>
  <si>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</si>
  <si>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</si>
  <si>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</si>
  <si>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</si>
  <si>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</si>
  <si>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</si>
  <si>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</si>
  <si>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</si>
  <si>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</si>
  <si>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</si>
  <si>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</si>
  <si>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</si>
  <si>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</si>
  <si>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</si>
  <si>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</si>
  <si>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</si>
  <si>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</si>
  <si>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</si>
  <si>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</si>
  <si>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</si>
  <si>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</si>
  <si>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</si>
  <si>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</si>
  <si>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</si>
  <si>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</si>
  <si>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</si>
  <si>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</si>
  <si>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</si>
  <si>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</si>
  <si>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</si>
  <si>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</si>
  <si>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</si>
  <si>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</si>
  <si>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</si>
  <si>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</si>
  <si>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</si>
  <si>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</si>
  <si>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</si>
  <si>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</si>
  <si>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</si>
  <si>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</si>
  <si>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</si>
  <si>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</si>
  <si>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</si>
  <si>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</si>
  <si>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</si>
  <si>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</si>
  <si>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</si>
  <si>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</si>
  <si>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</si>
  <si>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</si>
  <si>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</si>
  <si>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</si>
  <si>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</si>
  <si>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</si>
  <si>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</si>
  <si>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</si>
  <si>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</si>
  <si>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</si>
  <si>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</si>
  <si>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</si>
  <si>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</si>
  <si>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</si>
  <si>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</si>
  <si>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</si>
  <si>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</si>
  <si>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</si>
  <si>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</si>
  <si>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</si>
  <si>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</si>
  <si>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</si>
  <si>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</si>
  <si>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</si>
  <si>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</si>
  <si>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</si>
  <si>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</si>
  <si>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</si>
  <si>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</si>
  <si>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</si>
  <si>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</si>
  <si>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</si>
  <si>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</si>
  <si>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</si>
  <si>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</si>
  <si>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</si>
  <si>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</si>
  <si>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</si>
  <si>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</si>
  <si>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</si>
  <si>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</si>
  <si>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</si>
  <si>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</si>
  <si>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</si>
  <si>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</si>
  <si>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</si>
  <si>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</si>
  <si>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</si>
  <si>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</si>
  <si>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</si>
  <si>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</si>
  <si>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</si>
  <si>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</si>
  <si>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</si>
  <si>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</si>
  <si>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</si>
  <si>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</si>
  <si>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</si>
  <si>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</si>
  <si>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</si>
  <si>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</si>
  <si>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</si>
  <si>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</si>
  <si>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</si>
  <si>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</si>
  <si>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</si>
  <si>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</si>
  <si>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</si>
  <si>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</si>
  <si>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</si>
  <si>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</si>
  <si>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</si>
  <si>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</si>
  <si>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</si>
  <si>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</si>
  <si>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</si>
  <si>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</si>
  <si>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</si>
  <si>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</si>
  <si>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</si>
  <si>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</si>
  <si>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</si>
  <si>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</si>
  <si>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</si>
  <si>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</si>
  <si>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</si>
  <si>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</si>
  <si>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</si>
  <si>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</si>
  <si>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</si>
  <si>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</si>
  <si>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</si>
  <si>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</si>
  <si>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</si>
  <si>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</si>
  <si>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</si>
  <si>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</si>
  <si>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</si>
  <si>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</si>
  <si>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</si>
  <si>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</si>
  <si>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</si>
  <si>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</si>
  <si>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</si>
  <si>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</si>
  <si>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</si>
  <si>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</si>
  <si>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</si>
  <si>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</si>
  <si>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</si>
  <si>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</si>
  <si>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</si>
  <si>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</si>
  <si>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</si>
  <si>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</si>
  <si>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</si>
  <si>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</si>
  <si>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</si>
  <si>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</si>
  <si>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</si>
  <si>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</si>
  <si>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</si>
  <si>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</si>
  <si>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</si>
  <si>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</si>
  <si>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</si>
  <si>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</si>
  <si>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</si>
  <si>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</si>
  <si>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</si>
  <si>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</si>
  <si>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</si>
  <si>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</si>
  <si>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</si>
  <si>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</si>
  <si>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</si>
  <si>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</si>
  <si>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</si>
  <si>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</si>
  <si>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</si>
  <si>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</si>
  <si>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</si>
  <si>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</si>
  <si>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</si>
  <si>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</si>
  <si>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</si>
  <si>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</si>
  <si>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</si>
  <si>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</si>
  <si>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</si>
  <si>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</si>
  <si>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</si>
  <si>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</si>
  <si>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</si>
  <si>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</si>
  <si>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</si>
  <si>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</si>
  <si>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</si>
  <si>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</si>
  <si>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</si>
  <si>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</si>
  <si>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</si>
  <si>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</si>
  <si>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</si>
  <si>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</si>
  <si>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</si>
  <si>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</si>
  <si>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</si>
  <si>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</si>
  <si>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</si>
  <si>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</si>
  <si>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</si>
  <si>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</si>
  <si>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</si>
  <si>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</si>
  <si>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</si>
  <si>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</si>
  <si>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</si>
  <si>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</si>
  <si>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</si>
  <si>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</si>
  <si>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</si>
  <si>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</si>
  <si>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</si>
  <si>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</si>
  <si>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</si>
  <si>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</si>
  <si>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</si>
  <si>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</si>
  <si>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</si>
  <si>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</si>
  <si>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</si>
  <si>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</si>
  <si>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</si>
  <si>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</si>
  <si>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</si>
  <si>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</si>
  <si>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</si>
  <si>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</si>
  <si>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</si>
  <si>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</si>
  <si>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</si>
  <si>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</si>
  <si>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</si>
  <si>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</si>
  <si>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</si>
  <si>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</si>
  <si>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</si>
  <si>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</si>
  <si>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</si>
  <si>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</si>
  <si>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</si>
  <si>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</si>
  <si>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</si>
  <si>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</si>
  <si>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</si>
  <si>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</si>
  <si>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</si>
  <si>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</si>
  <si>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</si>
  <si>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</si>
  <si>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</si>
  <si>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</si>
  <si>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</si>
  <si>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</si>
  <si>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</si>
  <si>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</si>
  <si>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</si>
  <si>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</si>
  <si>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</si>
  <si>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</si>
  <si>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</si>
  <si>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</si>
  <si>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</si>
  <si>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</si>
  <si>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</si>
  <si>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</si>
  <si>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</si>
  <si>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</si>
  <si>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</si>
  <si>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</si>
  <si>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</si>
  <si>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</si>
  <si>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</si>
  <si>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</si>
  <si>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</si>
  <si>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</si>
  <si>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</si>
  <si>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</si>
  <si>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</si>
  <si>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</si>
  <si>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</si>
  <si>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</si>
  <si>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</si>
  <si>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</si>
  <si>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</si>
  <si>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</si>
  <si>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</si>
  <si>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</si>
  <si>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</si>
  <si>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</si>
  <si>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</si>
  <si>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</si>
  <si>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</si>
  <si>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</si>
  <si>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</si>
  <si>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</si>
  <si>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</si>
  <si>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</si>
  <si>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</si>
  <si>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</si>
  <si>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</si>
  <si>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</si>
  <si>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</si>
  <si>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</si>
  <si>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</si>
  <si>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</si>
  <si>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</si>
  <si>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</si>
  <si>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</si>
  <si>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</si>
  <si>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</si>
  <si>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</si>
  <si>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</si>
  <si>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</si>
  <si>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</si>
  <si>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</si>
  <si>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</si>
  <si>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</si>
  <si>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</si>
  <si>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</si>
  <si>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</si>
  <si>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</si>
  <si>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</si>
  <si>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</si>
  <si>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</si>
  <si>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</si>
  <si>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</si>
  <si>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</si>
  <si>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</si>
  <si>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</si>
  <si>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</si>
  <si>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</si>
  <si>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</si>
  <si>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</si>
  <si>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</si>
  <si>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</si>
  <si>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</si>
  <si>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</si>
  <si>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</si>
  <si>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</si>
  <si>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</si>
  <si>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</si>
  <si>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</si>
  <si>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</si>
  <si>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</si>
  <si>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</si>
  <si>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</si>
  <si>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</si>
  <si>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</si>
  <si>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</si>
  <si>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</si>
  <si>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</si>
  <si>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</si>
  <si>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</si>
  <si>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</si>
  <si>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</si>
  <si>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</si>
  <si>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</si>
  <si>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</si>
  <si>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</si>
  <si>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</si>
  <si>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</si>
  <si>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</si>
  <si>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</si>
  <si>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</si>
  <si>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</si>
  <si>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</si>
  <si>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</si>
  <si>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</si>
  <si>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</si>
  <si>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</si>
  <si>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</si>
  <si>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</si>
  <si>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</si>
  <si>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</si>
  <si>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</si>
  <si>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</si>
  <si>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</si>
  <si>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</si>
  <si>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</si>
  <si>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</si>
  <si>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</si>
  <si>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</si>
  <si>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</si>
  <si>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</si>
  <si>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</si>
  <si>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</si>
  <si>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</si>
  <si>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</si>
  <si>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</si>
  <si>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</si>
  <si>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</si>
  <si>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</si>
  <si>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</si>
  <si>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</si>
  <si>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</si>
  <si>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</si>
  <si>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</si>
  <si>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</si>
  <si>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</si>
  <si>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</si>
  <si>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</si>
  <si>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</si>
  <si>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</si>
  <si>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</si>
  <si>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</si>
  <si>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</si>
  <si>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</si>
  <si>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</si>
  <si>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</si>
  <si>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</si>
  <si>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</si>
  <si>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</si>
  <si>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</si>
  <si>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</si>
  <si>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</si>
  <si>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</si>
  <si>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</si>
  <si>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</si>
  <si>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</si>
  <si>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</si>
  <si>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</si>
  <si>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</si>
  <si>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</si>
  <si>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</si>
  <si>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</si>
  <si>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</si>
  <si>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</si>
  <si>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</si>
  <si>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</si>
  <si>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</si>
  <si>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</si>
  <si>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</si>
  <si>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</si>
  <si>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</si>
  <si>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</si>
  <si>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</si>
  <si>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</si>
  <si>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</si>
  <si>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</si>
  <si>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</si>
  <si>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</si>
  <si>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</si>
  <si>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</si>
  <si>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</si>
  <si>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</si>
  <si>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</si>
  <si>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</si>
  <si>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</si>
  <si>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</si>
  <si>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</si>
  <si>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</si>
  <si>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</si>
  <si>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</si>
  <si>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</si>
  <si>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</si>
  <si>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</si>
  <si>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</si>
  <si>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</si>
  <si>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</si>
  <si>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</si>
  <si>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</si>
  <si>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</si>
  <si>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</si>
  <si>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</si>
  <si>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</si>
  <si>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</si>
  <si>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</si>
  <si>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</si>
  <si>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</si>
  <si>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</si>
  <si>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</si>
  <si>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</si>
  <si>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</si>
  <si>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</si>
  <si>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</si>
  <si>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</si>
  <si>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</si>
  <si>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</si>
  <si>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</si>
  <si>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</si>
  <si>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</si>
  <si>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</si>
  <si>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</si>
  <si>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</si>
  <si>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</si>
  <si>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</si>
  <si>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</si>
  <si>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</si>
  <si>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</si>
  <si>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</si>
  <si>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</si>
  <si>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</si>
  <si>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</si>
  <si>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</si>
  <si>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</si>
  <si>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</si>
  <si>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</si>
  <si>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</si>
  <si>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</si>
  <si>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</si>
  <si>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</si>
  <si>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</si>
  <si>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</si>
  <si>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</si>
  <si>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</si>
  <si>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</si>
  <si>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</si>
  <si>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</si>
  <si>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</si>
  <si>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</si>
  <si>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</si>
  <si>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</si>
  <si>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</si>
  <si>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</si>
  <si>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</si>
  <si>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</si>
  <si>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</si>
  <si>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</si>
  <si>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</si>
  <si>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</si>
  <si>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</si>
  <si>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</si>
  <si>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</si>
  <si>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</si>
  <si>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</si>
  <si>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</si>
  <si>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</si>
  <si>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</si>
  <si>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</si>
  <si>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</si>
  <si>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</si>
  <si>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</si>
  <si>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</si>
  <si>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</si>
  <si>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</si>
  <si>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</si>
  <si>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</si>
  <si>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</si>
  <si>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</si>
  <si>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</si>
  <si>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</si>
  <si>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</si>
  <si>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</si>
  <si>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</si>
  <si>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</si>
  <si>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</si>
  <si>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</si>
  <si>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</si>
  <si>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</si>
  <si>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</si>
  <si>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</si>
  <si>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</si>
  <si>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</si>
  <si>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</si>
  <si>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</si>
  <si>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</si>
  <si>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</si>
  <si>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</si>
  <si>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</si>
  <si>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</si>
  <si>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</si>
  <si>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</si>
  <si>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</si>
  <si>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</si>
  <si>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</si>
  <si>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</si>
  <si>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</si>
  <si>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</si>
  <si>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</si>
  <si>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</si>
  <si>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</si>
  <si>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</si>
  <si>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</si>
  <si>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</si>
  <si>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</si>
  <si>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</si>
  <si>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</si>
  <si>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</si>
  <si>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</si>
  <si>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</si>
  <si>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</si>
  <si>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</si>
  <si>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</si>
  <si>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</si>
  <si>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</si>
  <si>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</si>
  <si>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</si>
  <si>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</si>
  <si>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</si>
  <si>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</si>
  <si>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</si>
  <si>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</si>
  <si>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</si>
  <si>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</si>
  <si>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</si>
  <si>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</si>
  <si>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</si>
  <si>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</si>
  <si>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</si>
  <si>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</si>
  <si>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</si>
  <si>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</si>
  <si>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</si>
  <si>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</si>
  <si>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</si>
  <si>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</si>
  <si>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</si>
  <si>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</si>
  <si>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</si>
  <si>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</si>
  <si>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</si>
  <si>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</si>
  <si>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</si>
  <si>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</si>
  <si>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</si>
  <si>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</si>
  <si>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</si>
  <si>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</si>
  <si>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</si>
  <si>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</si>
  <si>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</si>
  <si>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</si>
  <si>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</si>
  <si>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</si>
  <si>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</si>
  <si>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</si>
  <si>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</si>
  <si>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</si>
  <si>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</si>
  <si>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</si>
  <si>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</si>
  <si>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</si>
  <si>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</si>
  <si>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</si>
  <si>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</si>
  <si>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</si>
  <si>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</si>
  <si>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</si>
  <si>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</si>
  <si>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</si>
  <si>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</si>
  <si>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</si>
  <si>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</si>
  <si>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</si>
  <si>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</si>
  <si>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</si>
  <si>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</si>
  <si>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</si>
  <si>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</si>
  <si>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</si>
  <si>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</si>
  <si>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</si>
  <si>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</si>
  <si>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</si>
  <si>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</si>
  <si>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</si>
  <si>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</si>
  <si>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</si>
  <si>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</si>
  <si>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</si>
  <si>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</si>
  <si>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</si>
  <si>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</si>
  <si>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</si>
  <si>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</si>
  <si>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</si>
  <si>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</si>
  <si>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</si>
  <si>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</si>
  <si>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</si>
  <si>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</si>
  <si>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</si>
  <si>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</si>
  <si>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</si>
  <si>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</si>
  <si>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</si>
  <si>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</si>
  <si>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</si>
  <si>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</si>
  <si>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</si>
  <si>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</si>
  <si>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</si>
  <si>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</si>
  <si>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</si>
  <si>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</si>
  <si>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</si>
  <si>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</si>
  <si>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</si>
  <si>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</si>
  <si>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</si>
  <si>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</si>
  <si>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</si>
  <si>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</si>
  <si>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</si>
  <si>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</si>
  <si>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</si>
  <si>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</si>
  <si>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</si>
  <si>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</si>
  <si>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</si>
  <si>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</si>
  <si>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</si>
  <si>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</si>
  <si>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</si>
  <si>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</si>
  <si>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</si>
  <si>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</si>
  <si>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</si>
  <si>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</si>
  <si>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</si>
  <si>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</si>
  <si>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</si>
  <si>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</si>
  <si>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</si>
  <si>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</si>
  <si>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</si>
  <si>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</si>
  <si>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</si>
  <si>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</si>
  <si>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</si>
  <si>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</si>
  <si>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</si>
  <si>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</si>
  <si>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</si>
  <si>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</si>
  <si>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</si>
  <si>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</si>
  <si>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</si>
  <si>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</si>
  <si>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</si>
  <si>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</si>
  <si>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</si>
  <si>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</si>
  <si>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</si>
  <si>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</si>
  <si>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</si>
  <si>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</si>
  <si>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</si>
  <si>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</si>
  <si>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</si>
  <si>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</si>
  <si>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</si>
  <si>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</si>
  <si>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</si>
  <si>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</si>
  <si>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</si>
  <si>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</si>
  <si>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</si>
  <si>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</si>
  <si>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</si>
  <si>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</si>
  <si>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</si>
  <si>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</si>
  <si>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</si>
  <si>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</si>
  <si>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</si>
  <si>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</si>
  <si>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</si>
  <si>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</si>
  <si>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</si>
  <si>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</si>
  <si>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</si>
  <si>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</si>
  <si>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</si>
  <si>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</si>
  <si>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</si>
  <si>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</si>
  <si>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</si>
  <si>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</si>
  <si>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</si>
  <si>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</si>
  <si>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</si>
  <si>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</si>
  <si>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</si>
  <si>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</si>
  <si>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</si>
  <si>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</si>
  <si>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</si>
  <si>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</si>
  <si>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</si>
  <si>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</si>
  <si>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</si>
  <si>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</si>
  <si>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</si>
  <si>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</si>
  <si>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</si>
  <si>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</si>
  <si>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</si>
  <si>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</si>
  <si>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</si>
  <si>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</si>
  <si>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</si>
  <si>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</si>
  <si>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</si>
  <si>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</si>
  <si>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</si>
  <si>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</si>
  <si>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</si>
  <si>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</si>
  <si>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</si>
  <si>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</si>
  <si>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</si>
  <si>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</si>
  <si>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</si>
  <si>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</si>
  <si>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</si>
  <si>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</si>
  <si>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</si>
  <si>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</si>
  <si>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</si>
  <si>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</si>
  <si>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</si>
  <si>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</si>
  <si>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</si>
  <si>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</si>
  <si>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</si>
  <si>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</si>
  <si>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</si>
  <si>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</si>
  <si>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</si>
  <si>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</si>
  <si>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</si>
  <si>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</si>
  <si>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</si>
  <si>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</si>
  <si>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</si>
  <si>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</si>
  <si>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</si>
  <si>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</si>
  <si>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</si>
  <si>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</si>
  <si>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</si>
  <si>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</si>
  <si>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</si>
  <si>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</si>
  <si>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</si>
  <si>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</si>
  <si>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</si>
  <si>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</si>
  <si>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</si>
  <si>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</si>
  <si>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</si>
  <si>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</si>
  <si>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</si>
  <si>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</si>
  <si>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</si>
  <si>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</si>
  <si>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</si>
  <si>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</si>
  <si>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</si>
  <si>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</si>
  <si>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</si>
  <si>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</si>
  <si>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</si>
  <si>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</si>
  <si>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</si>
  <si>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</si>
  <si>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</si>
  <si>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</si>
  <si>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</si>
  <si>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</si>
  <si>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</si>
  <si>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</si>
  <si>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</si>
  <si>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</si>
  <si>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</si>
  <si>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</si>
  <si>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</si>
  <si>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</si>
  <si>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</si>
  <si>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</si>
  <si>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</si>
  <si>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</si>
  <si>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</si>
  <si>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</si>
  <si>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</si>
  <si>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</si>
  <si>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</si>
  <si>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</si>
  <si>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</si>
  <si>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</si>
  <si>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</si>
  <si>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</si>
  <si>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</si>
  <si>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</si>
  <si>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</si>
  <si>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</si>
  <si>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</si>
  <si>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</si>
  <si>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</si>
  <si>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</si>
  <si>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</si>
  <si>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</si>
  <si>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</si>
  <si>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</si>
  <si>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</si>
  <si>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</si>
  <si>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</si>
  <si>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</si>
  <si>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</si>
  <si>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</si>
  <si>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</si>
  <si>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</si>
  <si>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</si>
  <si>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</si>
  <si>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</si>
  <si>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</si>
  <si>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</si>
  <si>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</si>
  <si>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</si>
  <si>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</si>
  <si>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</si>
  <si>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</si>
  <si>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</si>
  <si>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</si>
  <si>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</si>
  <si>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</si>
  <si>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</si>
  <si>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</si>
  <si>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</si>
  <si>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</si>
  <si>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</si>
  <si>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</si>
  <si>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</si>
  <si>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</si>
  <si>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</si>
  <si>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</si>
  <si>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</si>
  <si>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</si>
  <si>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</si>
  <si>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</si>
  <si>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</si>
  <si>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</si>
  <si>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</si>
  <si>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</si>
  <si>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</si>
  <si>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</si>
  <si>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</si>
  <si>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</si>
  <si>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</si>
  <si>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</si>
  <si>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</si>
  <si>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</si>
  <si>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</si>
  <si>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</si>
  <si>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</si>
  <si>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</si>
  <si>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</si>
  <si>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</si>
  <si>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</si>
  <si>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</si>
  <si>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</si>
  <si>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</si>
  <si>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</si>
  <si>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</si>
  <si>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</si>
  <si>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</si>
  <si>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</si>
  <si>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</si>
  <si>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</si>
  <si>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</si>
  <si>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</si>
  <si>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</si>
  <si>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</si>
  <si>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</si>
  <si>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</si>
  <si>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</si>
  <si>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</si>
  <si>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</si>
  <si>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</si>
  <si>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</si>
  <si>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</si>
  <si>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</si>
  <si>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</si>
  <si>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</si>
  <si>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</si>
  <si>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</si>
  <si>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</si>
  <si>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</si>
  <si>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</si>
  <si>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</si>
  <si>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</si>
  <si>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</si>
  <si>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</si>
  <si>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</si>
  <si>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</si>
  <si>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</si>
  <si>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</si>
  <si>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</si>
  <si>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</si>
  <si>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</si>
  <si>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</si>
  <si>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</si>
  <si>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</si>
  <si>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</si>
  <si>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</si>
  <si>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</si>
  <si>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</si>
  <si>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</si>
  <si>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</si>
  <si>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</si>
  <si>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</si>
  <si>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</si>
  <si>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</si>
  <si>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</si>
  <si>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</si>
  <si>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</si>
  <si>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</si>
  <si>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</si>
  <si>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</si>
  <si>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</si>
  <si>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</si>
  <si>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</si>
  <si>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</si>
  <si>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</si>
  <si>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</si>
  <si>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</si>
  <si>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</si>
  <si>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</si>
  <si>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</si>
  <si>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</si>
  <si>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</si>
  <si>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</si>
  <si>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</si>
  <si>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</si>
  <si>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</si>
  <si>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</si>
  <si>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</si>
  <si>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</si>
  <si>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</si>
  <si>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</si>
  <si>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</si>
  <si>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</si>
  <si>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</si>
  <si>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</si>
  <si>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</si>
  <si>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</si>
  <si>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</si>
  <si>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</si>
  <si>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</si>
  <si>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</si>
  <si>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</si>
  <si>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</si>
  <si>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</si>
  <si>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</si>
  <si>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</si>
  <si>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</si>
  <si>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</si>
  <si>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</si>
  <si>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</si>
  <si>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</si>
  <si>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</si>
  <si>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</si>
  <si>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</si>
  <si>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</si>
  <si>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</si>
  <si>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</si>
  <si>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</si>
  <si>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</si>
  <si>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</si>
  <si>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</si>
  <si>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</si>
  <si>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</si>
  <si>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</si>
  <si>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</si>
  <si>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</si>
  <si>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</si>
  <si>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</si>
  <si>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</si>
  <si>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</si>
  <si>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</si>
  <si>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</si>
  <si>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</si>
  <si>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</si>
  <si>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</si>
  <si>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</si>
  <si>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</si>
  <si>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</si>
  <si>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</si>
  <si>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</si>
  <si>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</si>
  <si>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</si>
  <si>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</si>
  <si>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</si>
  <si>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</si>
  <si>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</si>
  <si>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</si>
  <si>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</si>
  <si>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</si>
  <si>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</si>
  <si>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</si>
  <si>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</si>
  <si>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</si>
  <si>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</si>
  <si>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</si>
  <si>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</si>
  <si>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</si>
  <si>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</si>
  <si>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</si>
  <si>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</si>
  <si>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</si>
  <si>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</si>
  <si>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</si>
  <si>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</si>
  <si>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</si>
  <si>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</si>
  <si>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</si>
  <si>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</si>
  <si>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</si>
  <si>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</si>
  <si>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</si>
  <si>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</si>
  <si>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</si>
  <si>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</si>
  <si>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</si>
  <si>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</si>
  <si>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</si>
  <si>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</si>
  <si>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</si>
  <si>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</si>
  <si>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</si>
  <si>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</si>
  <si>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</si>
  <si>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</si>
  <si>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</si>
  <si>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</si>
  <si>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</si>
  <si>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</si>
  <si>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</si>
  <si>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</si>
  <si>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</si>
  <si>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</si>
  <si>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</si>
  <si>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</si>
  <si>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</si>
  <si>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</si>
  <si>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</si>
  <si>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</si>
  <si>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</si>
  <si>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</si>
  <si>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</si>
  <si>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</si>
  <si>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</si>
  <si>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</si>
  <si>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</si>
  <si>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</si>
  <si>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</si>
  <si>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</si>
  <si>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</si>
  <si>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</si>
  <si>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</si>
  <si>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</si>
  <si>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</si>
  <si>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</si>
  <si>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</si>
  <si>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</si>
  <si>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</si>
  <si>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</si>
  <si>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</si>
  <si>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</si>
  <si>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</si>
  <si>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</si>
  <si>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</si>
  <si>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</si>
  <si>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</si>
  <si>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</si>
  <si>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</si>
  <si>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</si>
  <si>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</si>
  <si>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</si>
  <si>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</si>
  <si>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</si>
  <si>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</si>
  <si>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</si>
  <si>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</si>
  <si>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</si>
  <si>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</si>
  <si>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</si>
  <si>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</si>
  <si>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</si>
  <si>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</si>
  <si>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</si>
  <si>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</si>
  <si>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</si>
  <si>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</si>
  <si>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</si>
  <si>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</si>
  <si>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</si>
  <si>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</si>
  <si>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</si>
  <si>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</si>
  <si>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</si>
  <si>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</si>
  <si>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</si>
  <si>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</si>
  <si>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</si>
  <si>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</si>
  <si>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</si>
  <si>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</si>
  <si>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</si>
  <si>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</si>
  <si>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</si>
  <si>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</si>
  <si>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</si>
  <si>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</si>
  <si>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</si>
  <si>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</si>
  <si>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</si>
  <si>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</si>
  <si>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</si>
  <si>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</si>
  <si>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</si>
  <si>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</si>
  <si>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</si>
  <si>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</si>
  <si>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</si>
  <si>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</si>
  <si>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</si>
  <si>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</si>
  <si>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</si>
  <si>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</si>
  <si>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</si>
  <si>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</si>
  <si>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</si>
  <si>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</si>
  <si>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</si>
  <si>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</si>
  <si>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</si>
  <si>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</si>
  <si>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</si>
  <si>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</si>
  <si>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</si>
  <si>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</si>
  <si>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</si>
  <si>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</si>
  <si>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</si>
  <si>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</si>
  <si>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</si>
  <si>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</si>
  <si>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</si>
  <si>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</si>
  <si>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</si>
  <si>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</si>
  <si>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</si>
  <si>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</si>
  <si>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</si>
  <si>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</si>
  <si>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</si>
  <si>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</si>
  <si>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</si>
  <si>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</si>
  <si>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</si>
  <si>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</si>
  <si>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</si>
  <si>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</si>
  <si>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</si>
  <si>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</si>
  <si>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</si>
  <si>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</si>
  <si>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</si>
  <si>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</si>
  <si>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</si>
  <si>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</si>
  <si>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</si>
  <si>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</si>
  <si>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</si>
  <si>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</si>
  <si>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</si>
  <si>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</si>
  <si>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</si>
  <si>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</si>
  <si>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</si>
  <si>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</si>
  <si>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</si>
  <si>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</si>
  <si>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</si>
  <si>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</si>
  <si>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</si>
  <si>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</si>
  <si>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</si>
  <si>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</si>
  <si>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</si>
  <si>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</si>
  <si>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</si>
  <si>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</si>
  <si>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</si>
  <si>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</si>
  <si>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</si>
  <si>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</si>
  <si>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</si>
  <si>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</si>
  <si>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</si>
  <si>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</si>
  <si>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</si>
  <si>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</si>
  <si>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</si>
  <si>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</si>
  <si>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</si>
  <si>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</si>
  <si>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</si>
  <si>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</si>
  <si>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</si>
  <si>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</si>
  <si>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</si>
  <si>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</si>
  <si>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</si>
  <si>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</si>
  <si>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</si>
  <si>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</si>
  <si>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</si>
  <si>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</si>
  <si>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</si>
  <si>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</si>
  <si>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</si>
  <si>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</si>
  <si>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</si>
  <si>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</si>
  <si>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</si>
  <si>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</si>
  <si>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</si>
  <si>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</si>
  <si>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</si>
  <si>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</si>
  <si>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</si>
  <si>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</si>
  <si>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</si>
  <si>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</si>
  <si>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</si>
  <si>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</si>
  <si>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</si>
  <si>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</si>
  <si>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</si>
  <si>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</si>
  <si>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</si>
  <si>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</si>
  <si>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</si>
  <si>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</si>
  <si>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</si>
  <si>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</si>
  <si>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</si>
  <si>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</si>
  <si>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</si>
  <si>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</si>
  <si>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</si>
  <si>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</si>
  <si>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</si>
  <si>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</si>
  <si>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</si>
  <si>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</si>
  <si>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</si>
  <si>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</si>
  <si>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</si>
  <si>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</si>
  <si>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</si>
  <si>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</si>
  <si>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</si>
  <si>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</si>
  <si>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</si>
  <si>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</si>
  <si>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</si>
  <si>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</si>
  <si>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</si>
  <si>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</si>
  <si>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</si>
  <si>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</si>
  <si>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</si>
  <si>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</si>
  <si>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</si>
  <si>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</si>
  <si>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</si>
  <si>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</si>
  <si>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</si>
  <si>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</si>
  <si>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</si>
  <si>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</si>
  <si>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</si>
  <si>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</si>
  <si>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</si>
  <si>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</si>
  <si>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</si>
  <si>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</si>
  <si>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</si>
  <si>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</si>
  <si>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</si>
  <si>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</si>
  <si>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</si>
  <si>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</si>
  <si>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</si>
  <si>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</si>
  <si>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</si>
  <si>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</si>
  <si>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</si>
  <si>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</si>
  <si>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</si>
  <si>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</si>
  <si>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</si>
  <si>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</si>
  <si>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</si>
  <si>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</si>
  <si>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</si>
  <si>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</si>
  <si>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</si>
  <si>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</si>
  <si>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</si>
  <si>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</si>
  <si>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</si>
  <si>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</si>
  <si>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</si>
  <si>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</si>
  <si>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</si>
  <si>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</si>
  <si>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</si>
  <si>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</si>
  <si>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</si>
  <si>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</si>
  <si>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</si>
  <si>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</si>
  <si>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</si>
  <si>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</si>
  <si>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</si>
  <si>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</si>
  <si>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</si>
  <si>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</si>
  <si>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</si>
  <si>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</si>
  <si>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</si>
  <si>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</si>
  <si>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</si>
  <si>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</si>
  <si>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</si>
  <si>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</si>
  <si>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</si>
  <si>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</si>
  <si>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</si>
  <si>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</si>
  <si>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</si>
  <si>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</si>
  <si>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</si>
  <si>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</si>
  <si>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</si>
  <si>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</si>
  <si>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</si>
  <si>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</si>
  <si>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</si>
  <si>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</si>
  <si>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</si>
  <si>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</si>
  <si>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</si>
  <si>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</si>
  <si>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</si>
  <si>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</si>
  <si>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</si>
  <si>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</si>
  <si>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</si>
  <si>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</si>
  <si>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</si>
  <si>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</si>
  <si>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</si>
  <si>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</si>
  <si>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</si>
  <si>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</si>
  <si>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</si>
  <si>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</si>
  <si>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</si>
  <si>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</si>
  <si>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</si>
  <si>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</si>
  <si>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</si>
  <si>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</si>
  <si>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</si>
  <si>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</si>
  <si>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</si>
  <si>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</si>
  <si>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</si>
  <si>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</si>
  <si>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</si>
  <si>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</si>
  <si>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</si>
  <si>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</si>
  <si>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</si>
  <si>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</si>
  <si>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</si>
  <si>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</si>
  <si>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</si>
  <si>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</si>
  <si>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</si>
  <si>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</si>
  <si>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</si>
  <si>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</si>
  <si>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</si>
  <si>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</si>
  <si>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</si>
  <si>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</si>
  <si>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</si>
  <si>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</si>
  <si>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</si>
  <si>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</si>
  <si>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</si>
  <si>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</si>
  <si>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</si>
  <si>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</si>
  <si>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</si>
  <si>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</si>
  <si>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</si>
  <si>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</si>
  <si>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</si>
  <si>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</si>
  <si>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</si>
  <si>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</si>
  <si>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</si>
  <si>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</si>
  <si>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</si>
  <si>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</si>
  <si>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</si>
  <si>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</si>
  <si>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</si>
  <si>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</si>
  <si>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</si>
  <si>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</si>
  <si>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</si>
  <si>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</si>
  <si>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</si>
  <si>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</si>
  <si>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</si>
  <si>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</si>
  <si>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</si>
  <si>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</si>
  <si>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</si>
  <si>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</si>
  <si>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</si>
  <si>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</si>
  <si>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</si>
  <si>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</si>
  <si>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</si>
  <si>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</si>
  <si>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</si>
  <si>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</si>
  <si>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</si>
  <si>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</si>
  <si>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</si>
  <si>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</si>
  <si>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</si>
  <si>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</si>
  <si>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</si>
  <si>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</si>
  <si>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</si>
  <si>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</si>
  <si>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</si>
  <si>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</si>
  <si>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</si>
  <si>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</si>
  <si>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</si>
  <si>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</si>
  <si>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</si>
  <si>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</si>
  <si>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</si>
  <si>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</si>
  <si>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</si>
  <si>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</si>
  <si>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</si>
  <si>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</si>
  <si>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</si>
  <si>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</si>
  <si>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</si>
  <si>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</si>
  <si>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</si>
  <si>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</si>
  <si>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</si>
  <si>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</si>
  <si>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</si>
  <si>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</si>
  <si>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</si>
  <si>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</si>
  <si>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</si>
  <si>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</si>
  <si>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</si>
  <si>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</si>
  <si>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</si>
  <si>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</si>
  <si>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</si>
  <si>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</si>
  <si>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</si>
  <si>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</si>
  <si>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</si>
  <si>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</si>
  <si>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</si>
  <si>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</si>
  <si>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</si>
  <si>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</si>
  <si>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</si>
  <si>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</si>
  <si>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</si>
  <si>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</si>
  <si>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</si>
  <si>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</si>
  <si>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</si>
  <si>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</si>
  <si>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</si>
  <si>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</si>
  <si>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</si>
  <si>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</si>
  <si>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</si>
  <si>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</si>
  <si>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</si>
  <si>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</si>
  <si>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</si>
  <si>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</si>
  <si>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</si>
  <si>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</si>
  <si>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</si>
  <si>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</si>
  <si>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</si>
  <si>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</si>
  <si>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</si>
  <si>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</si>
  <si>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</si>
  <si>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</si>
  <si>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</si>
  <si>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</si>
  <si>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</si>
  <si>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</si>
  <si>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</si>
  <si>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</si>
  <si>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</si>
  <si>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</si>
  <si>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</si>
  <si>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</si>
  <si>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</si>
  <si>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</si>
  <si>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</si>
  <si>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</si>
  <si>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</si>
  <si>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</si>
  <si>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</si>
  <si>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</si>
  <si>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</si>
  <si>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</si>
  <si>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</si>
  <si>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</si>
  <si>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</si>
  <si>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</si>
  <si>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</si>
  <si>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</si>
  <si>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</si>
  <si>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</si>
  <si>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</si>
  <si>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</si>
  <si>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</si>
  <si>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</si>
  <si>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</si>
  <si>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</si>
  <si>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</si>
  <si>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</si>
  <si>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</si>
  <si>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</si>
  <si>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</si>
  <si>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</si>
  <si>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</si>
  <si>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</si>
  <si>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</si>
  <si>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</si>
  <si>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</si>
  <si>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</si>
  <si>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</si>
  <si>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</si>
  <si>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</si>
  <si>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</si>
  <si>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</si>
  <si>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</si>
  <si>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</si>
  <si>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</si>
  <si>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</si>
  <si>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</si>
  <si>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</si>
  <si>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</si>
  <si>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</si>
  <si>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</si>
  <si>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</si>
  <si>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</si>
  <si>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</si>
  <si>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</si>
  <si>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</si>
  <si>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</si>
  <si>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</si>
  <si>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</si>
  <si>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</si>
  <si>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</si>
  <si>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</si>
  <si>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</si>
  <si>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</si>
  <si>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</si>
  <si>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</si>
  <si>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</si>
  <si>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</si>
  <si>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</si>
  <si>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</si>
  <si>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</si>
  <si>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</si>
  <si>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</si>
  <si>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</si>
  <si>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</si>
  <si>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</si>
  <si>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</si>
  <si>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</si>
  <si>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</si>
  <si>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</si>
  <si>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</si>
  <si>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</si>
  <si>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</si>
  <si>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</si>
  <si>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</si>
  <si>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</si>
  <si>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</si>
  <si>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</si>
  <si>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</si>
  <si>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</si>
  <si>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</si>
  <si>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</si>
  <si>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</si>
  <si>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</si>
  <si>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</si>
  <si>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</si>
  <si>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</si>
  <si>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</si>
  <si>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</si>
  <si>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</si>
  <si>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</si>
  <si>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</si>
  <si>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</si>
  <si>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</si>
  <si>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</si>
  <si>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</si>
  <si>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</si>
  <si>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</si>
  <si>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</si>
  <si>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</si>
  <si>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</si>
  <si>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</si>
  <si>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</si>
  <si>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</si>
  <si>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</si>
  <si>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</si>
  <si>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</si>
  <si>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</si>
  <si>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</si>
  <si>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</si>
  <si>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</si>
  <si>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</si>
  <si>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</si>
  <si>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</si>
  <si>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</si>
  <si>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</si>
  <si>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</si>
  <si>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</si>
  <si>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</si>
  <si>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</si>
  <si>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</si>
  <si>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</si>
  <si>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</si>
  <si>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</si>
  <si>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</si>
  <si>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</si>
  <si>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</si>
  <si>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</si>
  <si>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</si>
  <si>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</si>
  <si>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</si>
  <si>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</si>
  <si>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</si>
  <si>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</si>
  <si>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</si>
  <si>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</si>
  <si>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</si>
  <si>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</si>
  <si>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</si>
  <si>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</si>
  <si>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</si>
  <si>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</si>
  <si>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</si>
  <si>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</si>
  <si>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</si>
  <si>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</si>
  <si>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</si>
  <si>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</si>
  <si>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</si>
  <si>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</si>
  <si>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</si>
  <si>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</si>
  <si>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</si>
  <si>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</si>
  <si>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</si>
  <si>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</si>
  <si>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</si>
  <si>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</si>
  <si>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</si>
  <si>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</si>
  <si>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</si>
  <si>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</si>
  <si>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</si>
  <si>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</si>
  <si>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</si>
  <si>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</si>
  <si>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</si>
  <si>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</si>
  <si>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</si>
  <si>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</si>
  <si>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</si>
  <si>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</si>
  <si>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</si>
  <si>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</si>
  <si>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</si>
  <si>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</si>
  <si>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</si>
  <si>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</si>
  <si>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</si>
  <si>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</si>
  <si>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</si>
  <si>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</si>
  <si>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</si>
  <si>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</si>
  <si>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</si>
  <si>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</si>
  <si>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</si>
  <si>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</si>
  <si>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</si>
  <si>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</si>
  <si>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</si>
  <si>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</si>
  <si>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</si>
  <si>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</si>
  <si>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</si>
  <si>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</si>
  <si>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</si>
  <si>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</si>
  <si>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</si>
  <si>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</si>
  <si>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</si>
  <si>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</si>
  <si>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</si>
  <si>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</si>
  <si>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</si>
  <si>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</si>
  <si>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</si>
  <si>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</si>
  <si>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</si>
  <si>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</si>
  <si>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</si>
  <si>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</si>
  <si>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</si>
  <si>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</si>
  <si>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</si>
  <si>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</si>
  <si>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</si>
  <si>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</si>
  <si>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</si>
  <si>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</si>
  <si>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</si>
  <si>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</si>
  <si>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</si>
  <si>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</si>
  <si>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</si>
  <si>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</si>
  <si>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</si>
  <si>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</si>
  <si>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</si>
  <si>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</si>
  <si>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</si>
  <si>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</si>
  <si>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</si>
  <si>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</si>
  <si>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</si>
  <si>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</si>
  <si>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</si>
  <si>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</si>
  <si>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</si>
  <si>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</si>
  <si>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</si>
  <si>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</si>
  <si>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</si>
  <si>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</si>
  <si>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</si>
  <si>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</si>
  <si>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</si>
  <si>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</si>
  <si>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</si>
  <si>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</si>
  <si>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</si>
  <si>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</si>
  <si>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</si>
  <si>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</si>
  <si>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</si>
  <si>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</si>
  <si>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</si>
  <si>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</si>
  <si>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</si>
  <si>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</si>
  <si>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</si>
  <si>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</si>
  <si>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</si>
  <si>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</si>
  <si>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</si>
  <si>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</si>
  <si>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</si>
  <si>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</si>
  <si>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</si>
  <si>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</si>
  <si>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</si>
  <si>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</si>
  <si>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</si>
  <si>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</si>
  <si>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</si>
  <si>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</si>
  <si>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</si>
  <si>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</si>
  <si>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</si>
  <si>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</si>
  <si>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</si>
  <si>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</si>
  <si>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</si>
  <si>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</si>
  <si>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</si>
  <si>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</si>
  <si>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</si>
  <si>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</si>
  <si>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</si>
  <si>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</si>
  <si>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</si>
  <si>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</si>
  <si>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</si>
  <si>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</si>
  <si>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</si>
  <si>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</si>
  <si>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</si>
  <si>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</si>
  <si>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</si>
  <si>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</si>
  <si>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</si>
  <si>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</si>
  <si>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</si>
  <si>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</si>
  <si>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</si>
  <si>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</si>
  <si>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</si>
  <si>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</si>
  <si>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</si>
  <si>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</si>
  <si>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</si>
  <si>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</si>
  <si>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</si>
  <si>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</si>
  <si>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</si>
  <si>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</si>
  <si>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</si>
  <si>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</si>
  <si>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</si>
  <si>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</si>
  <si>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</si>
  <si>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</si>
  <si>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</si>
  <si>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</si>
  <si>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</si>
  <si>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</si>
  <si>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</si>
  <si>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</si>
  <si>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</si>
  <si>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</si>
  <si>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</si>
  <si>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</si>
  <si>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</si>
  <si>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</si>
  <si>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</si>
  <si>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</si>
  <si>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</si>
  <si>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</si>
  <si>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</si>
  <si>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</si>
  <si>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</si>
  <si>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</si>
  <si>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</si>
  <si>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</si>
  <si>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</si>
  <si>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</si>
  <si>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</si>
  <si>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</si>
  <si>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</si>
  <si>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</si>
  <si>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</si>
  <si>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</si>
  <si>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</si>
  <si>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</si>
  <si>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</si>
  <si>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</si>
  <si>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</si>
  <si>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</si>
  <si>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</si>
  <si>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</si>
  <si>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</si>
  <si>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</si>
  <si>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</si>
  <si>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</si>
  <si>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</si>
  <si>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</si>
  <si>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</si>
  <si>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</si>
  <si>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</si>
  <si>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</si>
  <si>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</si>
  <si>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</si>
  <si>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</si>
  <si>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</si>
  <si>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</si>
  <si>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</si>
  <si>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</si>
  <si>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</si>
  <si>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</si>
  <si>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</si>
  <si>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</si>
  <si>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</si>
  <si>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</si>
  <si>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</si>
  <si>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</si>
  <si>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</si>
  <si>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</si>
  <si>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</si>
  <si>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</si>
  <si>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</si>
  <si>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</si>
  <si>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</si>
  <si>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</si>
  <si>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</si>
  <si>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</si>
  <si>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</si>
  <si>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</si>
  <si>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</si>
  <si>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</si>
  <si>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</si>
  <si>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</si>
  <si>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</si>
  <si>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</si>
  <si>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</si>
  <si>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</si>
  <si>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</si>
  <si>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</si>
  <si>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</si>
  <si>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</si>
  <si>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</si>
  <si>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</si>
  <si>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</si>
  <si>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</si>
  <si>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</si>
  <si>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</si>
  <si>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</si>
  <si>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</si>
  <si>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</si>
  <si>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</si>
  <si>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</si>
  <si>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</si>
  <si>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</si>
  <si>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</si>
  <si>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</si>
  <si>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</si>
  <si>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</si>
  <si>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</si>
  <si>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</si>
  <si>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</si>
  <si>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</si>
  <si>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</si>
  <si>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</si>
  <si>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</si>
  <si>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</si>
  <si>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</si>
  <si>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</si>
  <si>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</si>
  <si>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</si>
  <si>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</si>
  <si>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</si>
  <si>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</si>
  <si>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</si>
  <si>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</si>
  <si>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</si>
  <si>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</si>
  <si>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</si>
  <si>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</si>
  <si>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</si>
  <si>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</si>
  <si>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</si>
  <si>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</si>
  <si>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</si>
  <si>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</si>
  <si>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</si>
  <si>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</si>
  <si>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</si>
  <si>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</si>
  <si>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</si>
  <si>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</si>
  <si>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</si>
  <si>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</si>
  <si>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</si>
  <si>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</si>
  <si>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</si>
  <si>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</si>
  <si>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</si>
  <si>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</si>
  <si>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</si>
  <si>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</si>
  <si>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</si>
  <si>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</si>
  <si>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</si>
  <si>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</si>
  <si>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</si>
  <si>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</si>
  <si>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</si>
  <si>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</si>
  <si>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</si>
  <si>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</si>
  <si>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</si>
  <si>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</si>
  <si>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</si>
  <si>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</si>
  <si>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</si>
  <si>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</si>
  <si>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</si>
  <si>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</si>
  <si>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</si>
  <si>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</si>
  <si>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</si>
  <si>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</si>
  <si>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</si>
  <si>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</si>
  <si>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</si>
  <si>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</si>
  <si>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</si>
  <si>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</si>
  <si>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</si>
  <si>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</si>
  <si>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</si>
  <si>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</si>
  <si>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</si>
  <si>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</si>
  <si>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</si>
  <si>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</si>
  <si>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</si>
  <si>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</si>
  <si>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</si>
  <si>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</si>
  <si>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</si>
  <si>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</si>
  <si>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</si>
  <si>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</si>
  <si>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</si>
  <si>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</si>
  <si>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</si>
  <si>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</si>
  <si>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</si>
  <si>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</si>
  <si>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</si>
  <si>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</si>
  <si>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</si>
  <si>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</si>
  <si>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</si>
  <si>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</si>
  <si>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</si>
  <si>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</si>
  <si>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</si>
  <si>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</si>
  <si>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</si>
  <si>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</si>
  <si>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</si>
  <si>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</si>
  <si>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</si>
  <si>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</si>
  <si>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</si>
  <si>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</si>
  <si>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</si>
  <si>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</si>
  <si>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</si>
  <si>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</si>
  <si>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</si>
  <si>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</si>
  <si>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</si>
  <si>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</si>
  <si>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</si>
  <si>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</si>
  <si>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</si>
  <si>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</si>
  <si>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</si>
  <si>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</si>
  <si>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</si>
  <si>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</si>
  <si>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</si>
  <si>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</si>
  <si>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</si>
  <si>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</si>
  <si>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</si>
  <si>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</si>
  <si>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</si>
  <si>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</si>
  <si>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</si>
  <si>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</si>
  <si>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</si>
  <si>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</si>
  <si>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</si>
  <si>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</si>
  <si>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</si>
  <si>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</si>
  <si>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</si>
  <si>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</si>
  <si>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</si>
  <si>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</si>
  <si>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</si>
  <si>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</si>
  <si>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</si>
  <si>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</si>
  <si>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</si>
  <si>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</si>
  <si>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</si>
  <si>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</si>
  <si>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</si>
  <si>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</si>
  <si>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</si>
  <si>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</si>
  <si>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</si>
  <si>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</si>
  <si>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</si>
  <si>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</si>
  <si>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</si>
  <si>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</si>
  <si>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</si>
  <si>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</si>
  <si>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</si>
  <si>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</si>
  <si>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</si>
  <si>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</si>
  <si>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</si>
  <si>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</si>
  <si>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</si>
  <si>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</si>
  <si>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</si>
  <si>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</si>
  <si>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</si>
  <si>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</si>
  <si>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</si>
  <si>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</si>
  <si>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</si>
  <si>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</si>
  <si>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</si>
  <si>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</si>
  <si>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</si>
  <si>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</si>
  <si>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</si>
  <si>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</si>
  <si>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</si>
  <si>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</si>
  <si>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</si>
  <si>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</si>
  <si>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</si>
  <si>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</si>
  <si>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</si>
  <si>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</si>
  <si>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</si>
  <si>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</si>
  <si>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</si>
  <si>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</si>
  <si>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</si>
  <si>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</si>
  <si>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</si>
  <si>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</si>
  <si>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</si>
  <si>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</si>
  <si>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</si>
  <si>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</si>
  <si>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</si>
  <si>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</si>
  <si>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</si>
  <si>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</si>
  <si>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</si>
  <si>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</si>
  <si>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</si>
  <si>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</si>
  <si>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</si>
  <si>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</si>
  <si>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</si>
  <si>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</si>
  <si>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</si>
  <si>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</si>
  <si>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</si>
  <si>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</si>
  <si>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</si>
  <si>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</si>
  <si>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</si>
  <si>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</si>
  <si>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</si>
  <si>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</si>
  <si>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</si>
  <si>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</si>
  <si>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</si>
  <si>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</si>
  <si>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</si>
  <si>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</si>
  <si>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</si>
  <si>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</si>
  <si>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</si>
  <si>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</si>
  <si>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</si>
  <si>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</si>
  <si>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</si>
  <si>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</si>
  <si>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</si>
  <si>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</si>
  <si>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</si>
  <si>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</si>
  <si>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</si>
  <si>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</si>
  <si>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</si>
  <si>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</si>
  <si>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</si>
  <si>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</si>
  <si>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</si>
  <si>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</si>
  <si>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</si>
  <si>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</si>
  <si>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</si>
  <si>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</si>
  <si>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</si>
  <si>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</si>
  <si>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</si>
  <si>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</si>
  <si>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</si>
  <si>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</si>
  <si>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</si>
  <si>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</si>
  <si>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</si>
  <si>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</si>
  <si>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</si>
  <si>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</si>
  <si>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</si>
  <si>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</si>
  <si>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</si>
  <si>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</si>
  <si>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</si>
  <si>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</si>
  <si>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</si>
  <si>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</si>
  <si>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</si>
  <si>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</si>
  <si>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</si>
  <si>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</si>
  <si>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</si>
  <si>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</si>
  <si>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</si>
  <si>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</si>
  <si>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</si>
  <si>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</si>
  <si>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</si>
  <si>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</si>
  <si>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</si>
  <si>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</si>
  <si>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</si>
  <si>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</si>
  <si>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</si>
  <si>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</si>
  <si>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</si>
  <si>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</si>
  <si>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</si>
  <si>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</si>
  <si>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</si>
  <si>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</si>
  <si>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</si>
  <si>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</si>
  <si>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</si>
  <si>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</si>
  <si>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</si>
  <si>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</si>
  <si>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</si>
  <si>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</si>
  <si>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</si>
  <si>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</si>
  <si>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</si>
  <si>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</si>
  <si>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</si>
  <si>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</si>
  <si>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</si>
  <si>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</si>
  <si>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</si>
  <si>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</si>
  <si>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</si>
  <si>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</si>
  <si>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</si>
  <si>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</si>
  <si>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</si>
  <si>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</si>
  <si>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</si>
  <si>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</si>
  <si>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</si>
  <si>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</si>
  <si>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</si>
  <si>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</si>
  <si>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</si>
  <si>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</si>
  <si>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</si>
  <si>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</si>
  <si>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</si>
  <si>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</si>
  <si>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</si>
  <si>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</si>
  <si>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</si>
  <si>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</si>
  <si>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</si>
  <si>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</si>
  <si>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</si>
  <si>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</si>
  <si>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</si>
  <si>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</si>
  <si>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</si>
  <si>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</si>
  <si>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</si>
  <si>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</si>
  <si>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</si>
  <si>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</si>
  <si>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</si>
  <si>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</si>
  <si>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</si>
  <si>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</si>
  <si>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</si>
  <si>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</si>
  <si>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</si>
  <si>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</si>
  <si>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</si>
  <si>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</si>
  <si>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</si>
  <si>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</si>
  <si>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</si>
  <si>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</si>
  <si>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</si>
  <si>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</si>
  <si>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</si>
  <si>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</si>
  <si>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</si>
  <si>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</si>
  <si>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</si>
  <si>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</si>
  <si>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</si>
  <si>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</si>
  <si>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</si>
  <si>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</si>
  <si>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</si>
  <si>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</si>
  <si>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</si>
  <si>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</si>
  <si>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</si>
  <si>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</si>
  <si>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</si>
  <si>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</si>
  <si>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</si>
  <si>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</si>
  <si>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</si>
  <si>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</si>
  <si>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</si>
  <si>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</si>
  <si>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</si>
  <si>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</si>
  <si>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</si>
  <si>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</si>
  <si>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</si>
  <si>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</si>
  <si>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</si>
  <si>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</si>
  <si>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</si>
  <si>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</si>
  <si>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</si>
  <si>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</si>
  <si>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</si>
  <si>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</si>
  <si>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</si>
  <si>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</si>
  <si>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</si>
  <si>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</si>
  <si>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</si>
  <si>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</si>
  <si>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</si>
  <si>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</si>
  <si>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</si>
  <si>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</si>
  <si>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</si>
  <si>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</si>
  <si>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</si>
  <si>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</si>
  <si>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</si>
  <si>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</si>
  <si>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</si>
  <si>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</si>
  <si>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</si>
  <si>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</si>
  <si>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</si>
  <si>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</si>
  <si>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</si>
  <si>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</si>
  <si>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</si>
  <si>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</si>
  <si>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</si>
  <si>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</si>
  <si>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</si>
  <si>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</si>
  <si>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</si>
  <si>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</si>
  <si>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</si>
  <si>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</si>
  <si>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</si>
  <si>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</si>
  <si>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</si>
  <si>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</si>
  <si>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</si>
  <si>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</si>
  <si>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</si>
  <si>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</si>
  <si>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</si>
  <si>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</si>
  <si>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</si>
  <si>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</si>
  <si>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</si>
  <si>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</si>
  <si>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</si>
  <si>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</si>
  <si>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</si>
  <si>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</si>
  <si>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</si>
  <si>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</si>
  <si>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</si>
  <si>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</si>
  <si>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</si>
  <si>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</si>
  <si>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</si>
  <si>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</si>
  <si>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</si>
  <si>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</si>
  <si>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</si>
  <si>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</si>
  <si>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</si>
  <si>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</si>
  <si>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</si>
  <si>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</si>
  <si>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</si>
  <si>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</si>
  <si>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</si>
  <si>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</si>
  <si>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</si>
  <si>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</si>
  <si>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</si>
  <si>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</si>
  <si>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</si>
  <si>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</si>
  <si>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</si>
  <si>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</si>
  <si>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</si>
  <si>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</si>
  <si>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</si>
  <si>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</si>
  <si>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</si>
  <si>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</si>
  <si>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</si>
  <si>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</si>
  <si>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</si>
  <si>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</si>
  <si>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</si>
  <si>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</si>
  <si>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</si>
  <si>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</si>
  <si>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</si>
  <si>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</si>
  <si>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</si>
  <si>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</si>
  <si>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</si>
  <si>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</si>
  <si>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</si>
  <si>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</si>
  <si>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</si>
  <si>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</si>
  <si>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</si>
  <si>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</si>
  <si>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</si>
  <si>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</si>
  <si>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</si>
  <si>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</si>
  <si>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</si>
  <si>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</si>
  <si>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</si>
  <si>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</si>
  <si>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</si>
  <si>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</si>
  <si>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</si>
  <si>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</si>
  <si>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</si>
  <si>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</si>
  <si>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</si>
  <si>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</si>
  <si>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</si>
  <si>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</si>
  <si>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</si>
  <si>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</si>
  <si>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</si>
  <si>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</si>
  <si>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</si>
  <si>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</si>
  <si>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</si>
  <si>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</si>
  <si>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</si>
  <si>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</si>
  <si>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</si>
  <si>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</si>
  <si>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</si>
  <si>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</si>
  <si>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</si>
  <si>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</si>
  <si>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</si>
  <si>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</si>
  <si>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</si>
  <si>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</si>
  <si>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</si>
  <si>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</si>
  <si>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</si>
  <si>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</si>
  <si>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</si>
  <si>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</si>
  <si>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</si>
  <si>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</si>
  <si>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</si>
  <si>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</si>
  <si>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</si>
  <si>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</si>
  <si>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</si>
  <si>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</si>
  <si>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</si>
  <si>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</si>
  <si>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</si>
  <si>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</si>
  <si>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</si>
  <si>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</si>
  <si>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</si>
  <si>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</si>
  <si>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</si>
  <si>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</si>
  <si>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</si>
  <si>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</si>
  <si>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</si>
  <si>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</si>
  <si>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</si>
  <si>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</si>
  <si>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</si>
  <si>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</si>
  <si>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</si>
  <si>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</si>
  <si>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</si>
  <si>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</si>
  <si>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</si>
  <si>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</si>
  <si>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</si>
  <si>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</si>
  <si>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</si>
  <si>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</si>
  <si>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</si>
  <si>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</si>
  <si>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</si>
  <si>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</si>
  <si>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</si>
  <si>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</si>
  <si>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</si>
  <si>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</si>
  <si>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</si>
  <si>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</si>
  <si>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</si>
  <si>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</si>
  <si>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</si>
  <si>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</si>
  <si>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</si>
  <si>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</si>
  <si>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</si>
  <si>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</si>
  <si>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</si>
  <si>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</si>
  <si>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</si>
  <si>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</si>
  <si>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</si>
  <si>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</si>
  <si>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</si>
  <si>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</si>
  <si>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</si>
  <si>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</si>
  <si>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</si>
  <si>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</si>
  <si>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</si>
  <si>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</si>
  <si>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</si>
  <si>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</si>
  <si>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</si>
  <si>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</si>
  <si>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</si>
  <si>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</si>
  <si>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</si>
  <si>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</si>
  <si>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</si>
  <si>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</si>
  <si>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</si>
  <si>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</si>
  <si>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</si>
  <si>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</si>
  <si>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</si>
  <si>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</si>
  <si>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</si>
  <si>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</si>
  <si>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</si>
  <si>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</si>
  <si>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</si>
  <si>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</si>
  <si>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</si>
  <si>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</si>
  <si>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</si>
  <si>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</si>
  <si>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</si>
  <si>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</si>
  <si>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</si>
  <si>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</si>
  <si>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</si>
  <si>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</si>
  <si>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</si>
  <si>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</si>
  <si>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</si>
  <si>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</si>
  <si>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</si>
  <si>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</si>
  <si>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</si>
  <si>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</si>
  <si>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</si>
  <si>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</si>
  <si>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</si>
  <si>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</si>
  <si>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</si>
  <si>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</si>
  <si>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</si>
  <si>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</si>
  <si>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</si>
  <si>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</si>
  <si>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</si>
  <si>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</si>
  <si>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</si>
  <si>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</si>
  <si>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</si>
  <si>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</si>
  <si>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</si>
  <si>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</si>
  <si>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</si>
  <si>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</si>
  <si>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</si>
  <si>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</si>
  <si>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</si>
  <si>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</si>
  <si>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</si>
  <si>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</si>
  <si>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</si>
  <si>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</si>
  <si>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</si>
  <si>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</si>
  <si>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</si>
  <si>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</si>
  <si>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</si>
  <si>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</si>
  <si>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</si>
  <si>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</si>
  <si>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</si>
  <si>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</si>
  <si>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</si>
  <si>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</si>
  <si>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</si>
  <si>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</si>
  <si>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</si>
  <si>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</si>
  <si>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</si>
  <si>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</si>
  <si>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</si>
  <si>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</si>
  <si>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</si>
  <si>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</si>
  <si>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</si>
  <si>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</si>
  <si>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</si>
  <si>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</si>
  <si>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</si>
  <si>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</si>
  <si>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</si>
  <si>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</si>
  <si>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</si>
  <si>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</si>
  <si>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</si>
  <si>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</si>
  <si>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</si>
  <si>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</si>
  <si>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</si>
  <si>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</si>
  <si>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</si>
  <si>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</si>
  <si>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</si>
  <si>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</si>
  <si>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</si>
  <si>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</si>
  <si>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</si>
  <si>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</si>
  <si>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</si>
  <si>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</si>
  <si>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</si>
  <si>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</si>
  <si>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</si>
  <si>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</si>
  <si>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</si>
  <si>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</si>
  <si>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</si>
  <si>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</si>
  <si>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</si>
  <si>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</si>
  <si>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</si>
  <si>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</si>
  <si>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</si>
  <si>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</si>
  <si>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</si>
  <si>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</si>
  <si>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</si>
  <si>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</si>
  <si>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</si>
  <si>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</si>
  <si>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</si>
  <si>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</si>
  <si>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</si>
  <si>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</si>
  <si>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</si>
  <si>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</si>
  <si>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</si>
  <si>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</si>
  <si>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</si>
  <si>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</si>
  <si>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</si>
  <si>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</si>
  <si>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</si>
  <si>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</si>
  <si>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</si>
  <si>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</si>
  <si>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</si>
  <si>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</si>
  <si>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</si>
  <si>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</si>
  <si>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</si>
  <si>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</si>
  <si>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</si>
  <si>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</si>
  <si>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</si>
  <si>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</si>
  <si>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</si>
  <si>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</si>
  <si>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</si>
  <si>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</si>
  <si>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</si>
  <si>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</si>
  <si>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</si>
  <si>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</si>
  <si>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</si>
  <si>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</si>
  <si>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</si>
  <si>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</si>
  <si>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</si>
  <si>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</si>
  <si>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</si>
  <si>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</si>
  <si>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</si>
  <si>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</si>
  <si>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</si>
  <si>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</si>
  <si>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</si>
  <si>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</si>
  <si>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</si>
  <si>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</si>
  <si>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</si>
  <si>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</si>
  <si>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</si>
  <si>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</si>
  <si>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</si>
  <si>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</si>
  <si>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</si>
  <si>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</si>
  <si>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</si>
  <si>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</si>
  <si>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</si>
  <si>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</si>
  <si>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</si>
  <si>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</si>
  <si>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</si>
  <si>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</si>
  <si>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</si>
  <si>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</si>
  <si>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</si>
  <si>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</si>
  <si>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</si>
  <si>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</si>
  <si>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</si>
  <si>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</si>
  <si>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</si>
  <si>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</si>
  <si>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</si>
  <si>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</si>
  <si>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</si>
  <si>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</si>
  <si>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</si>
  <si>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</si>
  <si>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</si>
  <si>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</si>
  <si>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</si>
  <si>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</si>
  <si>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</si>
  <si>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</si>
  <si>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</si>
  <si>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</si>
  <si>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</si>
  <si>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</si>
  <si>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</si>
  <si>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</si>
  <si>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</si>
  <si>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</si>
  <si>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</si>
  <si>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</si>
  <si>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</si>
  <si>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</si>
  <si>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</si>
  <si>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</si>
  <si>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</si>
  <si>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</si>
  <si>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</si>
  <si>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</si>
  <si>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</si>
  <si>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</si>
  <si>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</si>
  <si>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</si>
  <si>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</si>
  <si>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</si>
  <si>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</si>
  <si>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</si>
  <si>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</si>
  <si>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</si>
  <si>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</si>
  <si>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</si>
  <si>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</si>
  <si>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</si>
  <si>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</si>
  <si>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</si>
  <si>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</si>
  <si>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</si>
  <si>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</si>
  <si>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</si>
  <si>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</si>
  <si>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</si>
  <si>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</si>
  <si>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</si>
  <si>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</si>
  <si>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</si>
  <si>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</si>
  <si>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</si>
  <si>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</si>
  <si>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</si>
  <si>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</si>
  <si>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</si>
  <si>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</si>
  <si>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</si>
  <si>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</si>
  <si>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</si>
  <si>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</si>
  <si>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</si>
  <si>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</si>
  <si>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</si>
  <si>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</si>
  <si>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</si>
  <si>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</si>
  <si>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</si>
  <si>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</si>
  <si>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</si>
  <si>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</si>
  <si>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</si>
  <si>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</si>
  <si>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</si>
  <si>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</si>
  <si>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</si>
  <si>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</si>
  <si>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</si>
  <si>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</si>
  <si>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</si>
  <si>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</si>
  <si>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</si>
  <si>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</si>
  <si>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</si>
  <si>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</si>
  <si>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</si>
  <si>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</si>
  <si>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</si>
  <si>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</si>
  <si>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</si>
  <si>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</si>
  <si>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</si>
  <si>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</si>
  <si>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</si>
  <si>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</si>
  <si>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</si>
  <si>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</si>
  <si>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</si>
  <si>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</si>
  <si>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</si>
  <si>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</si>
  <si>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</si>
  <si>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</si>
  <si>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</si>
  <si>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</si>
  <si>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</si>
  <si>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</si>
  <si>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</si>
  <si>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</si>
  <si>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</si>
  <si>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</si>
  <si>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</si>
  <si>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</si>
  <si>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</si>
  <si>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</si>
  <si>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</si>
  <si>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</si>
  <si>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</si>
  <si>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</si>
  <si>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</si>
  <si>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</si>
  <si>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</si>
  <si>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</si>
  <si>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</si>
  <si>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</si>
  <si>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</si>
  <si>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</si>
  <si>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</si>
  <si>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</si>
  <si>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</si>
  <si>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</si>
  <si>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</si>
  <si>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</si>
  <si>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</si>
  <si>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</si>
  <si>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</si>
  <si>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</si>
  <si>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</si>
  <si>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</si>
  <si>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</si>
  <si>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</si>
  <si>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</si>
  <si>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</si>
  <si>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</si>
  <si>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</si>
  <si>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</si>
  <si>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</si>
  <si>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</si>
  <si>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</si>
  <si>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</si>
  <si>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</si>
  <si>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</si>
  <si>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</si>
  <si>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</si>
  <si>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</si>
  <si>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</si>
  <si>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</si>
  <si>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</si>
  <si>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</si>
  <si>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</si>
  <si>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</si>
  <si>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</si>
  <si>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</si>
  <si>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</si>
  <si>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</si>
  <si>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</si>
  <si>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</si>
  <si>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</si>
  <si>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</si>
  <si>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</si>
  <si>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</si>
  <si>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</si>
  <si>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</si>
  <si>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</si>
  <si>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</si>
  <si>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</si>
  <si>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</si>
  <si>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</si>
  <si>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</si>
  <si>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</si>
  <si>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</si>
  <si>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</si>
  <si>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</si>
  <si>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</si>
  <si>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</si>
  <si>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</si>
  <si>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</si>
  <si>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</si>
  <si>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</si>
  <si>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</si>
  <si>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</si>
  <si>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</si>
  <si>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</si>
  <si>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</si>
  <si>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</si>
  <si>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</si>
  <si>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</si>
  <si>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</si>
  <si>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</si>
  <si>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</si>
  <si>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</si>
  <si>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</si>
  <si>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</si>
  <si>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</si>
  <si>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</si>
  <si>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</si>
  <si>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</si>
  <si>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</si>
  <si>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</si>
  <si>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</si>
  <si>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</si>
  <si>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</si>
  <si>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</si>
  <si>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</si>
  <si>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</si>
  <si>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</si>
  <si>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</si>
  <si>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</si>
  <si>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</si>
  <si>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</si>
  <si>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</si>
  <si>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</si>
  <si>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</si>
  <si>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</si>
  <si>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</si>
  <si>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</si>
  <si>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</si>
  <si>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</si>
  <si>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</si>
  <si>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</si>
  <si>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</si>
  <si>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</si>
  <si>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</si>
  <si>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</si>
  <si>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</si>
  <si>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</si>
  <si>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</si>
  <si>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</si>
  <si>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</si>
  <si>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</si>
  <si>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</si>
  <si>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</si>
  <si>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</si>
  <si>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</si>
  <si>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</si>
  <si>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</si>
  <si>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</si>
  <si>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</si>
  <si>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</si>
  <si>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</si>
  <si>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</si>
  <si>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</si>
  <si>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</si>
  <si>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</si>
  <si>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</si>
  <si>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</si>
  <si>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</si>
  <si>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</si>
  <si>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</si>
  <si>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</si>
  <si>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</si>
  <si>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</si>
  <si>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</si>
  <si>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</si>
  <si>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</si>
  <si>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</si>
  <si>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</si>
  <si>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</si>
  <si>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</si>
  <si>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</si>
  <si>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</si>
  <si>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</si>
  <si>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</si>
  <si>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</si>
  <si>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</si>
  <si>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</si>
  <si>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</si>
  <si>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</si>
  <si>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</si>
  <si>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</si>
  <si>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</si>
  <si>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</si>
  <si>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</si>
  <si>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</si>
  <si>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</si>
  <si>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</si>
  <si>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</si>
  <si>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</si>
  <si>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</si>
  <si>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</si>
  <si>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</si>
  <si>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</si>
  <si>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</si>
  <si>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</si>
  <si>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</si>
  <si>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</si>
  <si>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</si>
  <si>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</si>
  <si>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</si>
  <si>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</si>
  <si>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</si>
  <si>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</si>
  <si>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</si>
  <si>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</si>
  <si>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</si>
  <si>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</si>
  <si>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</si>
  <si>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</si>
  <si>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</si>
  <si>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</si>
  <si>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</si>
  <si>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</si>
  <si>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</si>
  <si>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</si>
  <si>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</si>
  <si>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</si>
  <si>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</si>
  <si>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</si>
  <si>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</si>
  <si>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</si>
  <si>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</si>
  <si>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Colonna1</t>
  </si>
  <si>
    <t>Colonna2</t>
  </si>
  <si>
    <t>Esercizio 4</t>
  </si>
  <si>
    <t>Esercizio 5</t>
  </si>
  <si>
    <t>PREZZO MEDIO</t>
  </si>
  <si>
    <t>MEDIA</t>
  </si>
  <si>
    <t>MEDIANA</t>
  </si>
  <si>
    <t>MODA</t>
  </si>
  <si>
    <t>VARIANZA</t>
  </si>
  <si>
    <t>DEV. STAN.</t>
  </si>
  <si>
    <t>IQR.</t>
  </si>
  <si>
    <t>0-20</t>
  </si>
  <si>
    <t>20-40</t>
  </si>
  <si>
    <t>40-60</t>
  </si>
  <si>
    <t>60-80</t>
  </si>
  <si>
    <t>80-100</t>
  </si>
  <si>
    <t>100-120</t>
  </si>
  <si>
    <t>120-140</t>
  </si>
  <si>
    <t>CLASSE MODALE</t>
  </si>
  <si>
    <t>CLASSE PREZZO</t>
  </si>
  <si>
    <t>FREQUENZA</t>
  </si>
  <si>
    <t>Q1</t>
  </si>
  <si>
    <t>Q3</t>
  </si>
  <si>
    <t>LIM.SUP.</t>
  </si>
  <si>
    <t>LIM.INF.</t>
  </si>
  <si>
    <t>OUTLIER</t>
  </si>
  <si>
    <t>Applicando la regola dell'IQR e i limiti di Tukey, non risultano città con prezzo anomalo. Ciò conferma quanto osservato nell'esercizio 7, ovvero che la distribuzione dei prezzi è abbastanza omogenea e priva di valori estremi.</t>
  </si>
  <si>
    <t>da controllare su query</t>
  </si>
  <si>
    <t>La media e la mediana sono molto vicine tra di loro, perciò la distribuzione dei prezzi medi è per lo più simmetrica,senza una forte asimmetria verso valori alti o bassi. La moda è anch'essa vicina agli altri due indici, confermando che i prezzi si concentrano attorno al valore centrale. La deviazione standard indica una dispersione moderata dei prezzi attorno alla media, coerente con l'IQR di 46,75.</t>
  </si>
  <si>
    <t>Esercizio 10</t>
  </si>
  <si>
    <t>Totale strutture:</t>
  </si>
  <si>
    <t>Numero alberghi:</t>
  </si>
  <si>
    <t>Numero B&amp;B:</t>
  </si>
  <si>
    <t>Probabilità che sia un albergo:</t>
  </si>
  <si>
    <t>Probabilità che sia un B&amp;B:</t>
  </si>
  <si>
    <t>Probabilità che estraendone due indipendenti siano entrambi alberghi:</t>
  </si>
  <si>
    <t>I B&amp;B sono la categoria più diffusa. La probabilità che due estrazioni indipendenti siano entrambe un albergo è molto bassa.</t>
  </si>
  <si>
    <t>Esercizio 11</t>
  </si>
  <si>
    <t>Lim. Inf.</t>
  </si>
  <si>
    <t>Lim. Sup.</t>
  </si>
  <si>
    <t>Intervallo +/-1 deviazione standard</t>
  </si>
  <si>
    <t>Intervallo +/-2 deviazione standard</t>
  </si>
  <si>
    <t>Lim inf.</t>
  </si>
  <si>
    <t>Esercizio 12</t>
  </si>
  <si>
    <t>Urbino</t>
  </si>
  <si>
    <t>La città scelta ha un prezzo di 31 euro, corrispondente ad uno z-score di -4,47, molto al di sotto della media (73,5euro).  E' un valore piuttosto raro considerando che la maggior parte dei dati si trova entro due o tre deviazoni standard dalla media. La probabilità è vicinissima allo 0 il che conferma quanto sia improbabile trovare un prezzo cosi basso se i dati seguissero davvero una distribuzione normale perfetta.</t>
  </si>
  <si>
    <t>Esercizio 13</t>
  </si>
  <si>
    <t>Margine di errore</t>
  </si>
  <si>
    <t>Limiti dell intervallo:</t>
  </si>
  <si>
    <t>lim. Inf.</t>
  </si>
  <si>
    <t>lim. Sup.</t>
  </si>
  <si>
    <t>Il prezzo medio calcolato sul campione delle città è di 73,5€. Con un livello di confidenza del 95%, possiamo dire che il vero prezzo medio di tutte le città (la popolazione) è compreso tra 69€ e 77€. Questo significa che se ripetessimo il campionamento molte volte, il 95% degli intervalli conterebbe il vero valore medio della popolazione.</t>
  </si>
  <si>
    <t>Margini di errore</t>
  </si>
  <si>
    <t xml:space="preserve"> AL 90%</t>
  </si>
  <si>
    <t>AL 99%</t>
  </si>
  <si>
    <t>Aumentando il livello di confidenza dal 90% al 99%, l'intervallo diventa più ampio:cresce il margine di errore da 2,9(90%), a 3,52(95%) fino a circa 4,6(99%). Ciò succede in quanto,per essere più sicuri di catturare il vero valore della popolazione, dobbiamo allargare l'intervallo di stima.</t>
  </si>
  <si>
    <t>Se la numeriosità campionaria n quadruplicasse , il margine di errore si dimezzerebbe, poiché la formula del margine di errore è inversamente proporzionale alla radice quadrata di n.</t>
  </si>
  <si>
    <t>Esercizio 14</t>
  </si>
  <si>
    <t>Esercizio 15</t>
  </si>
  <si>
    <t>Esercizio 16</t>
  </si>
  <si>
    <t>Esercizio 17</t>
  </si>
  <si>
    <t>Esercizio 18</t>
  </si>
  <si>
    <t>ALBERGO</t>
  </si>
  <si>
    <t>AGRITURISMO</t>
  </si>
  <si>
    <t>Prezzo medio città con alberghi:</t>
  </si>
  <si>
    <t>Prezzo medio città con agriturismi:</t>
  </si>
  <si>
    <t>Il prezzo medio delle città con alberghi e quello con agriturismi sono moltosimili tra loro, con una differenza di appena 0,38€. Questo suggerisce che la presenza di alberghi o agriturismi in una città non influenza in modo significativo il prezzo medio delle strutture ricettive. L'ipotesi nulla sembra essere confermata dai dati.</t>
  </si>
  <si>
    <t>Numero strutture</t>
  </si>
  <si>
    <t>Prezzo medio</t>
  </si>
  <si>
    <t>Covarianza</t>
  </si>
  <si>
    <t>Correlazione</t>
  </si>
  <si>
    <t>Il coefficiente di correlazione tra numero di strutture e prezzo medio è -0,037, un valore molto vicino allo 0. Questo significa che nonostante il senso negativo(una tendenza inversa), il legame tra le due variabiliè praticamente inesistente . La covarianza negativa conferma la stessa direzione debole, ma essendo il coefficiente di correlazione così vicino a 0, non si può parlare di una relazione rilevante tra le due variabili.</t>
  </si>
  <si>
    <t>OUTPUT RIEPILOGO</t>
  </si>
  <si>
    <t>Statistica della regressione</t>
  </si>
  <si>
    <t>R multiplo</t>
  </si>
  <si>
    <t>R al quadrato</t>
  </si>
  <si>
    <t>R al quadrato corretto</t>
  </si>
  <si>
    <t>Errore standard</t>
  </si>
  <si>
    <t>Osservazioni</t>
  </si>
  <si>
    <t>ANALISI VARIANZA</t>
  </si>
  <si>
    <t>Regressione</t>
  </si>
  <si>
    <t>Residuo</t>
  </si>
  <si>
    <t>Totale</t>
  </si>
  <si>
    <t>Intercetta</t>
  </si>
  <si>
    <t>gdl</t>
  </si>
  <si>
    <t>SQ</t>
  </si>
  <si>
    <t>MQ</t>
  </si>
  <si>
    <t>F</t>
  </si>
  <si>
    <t>Significatività F</t>
  </si>
  <si>
    <t>Coefficienti</t>
  </si>
  <si>
    <t>Stat t</t>
  </si>
  <si>
    <t>Valore di significatività</t>
  </si>
  <si>
    <t>Inferiore 95%</t>
  </si>
  <si>
    <t>Superiore 95%</t>
  </si>
  <si>
    <t>Inferiore 95,0%</t>
  </si>
  <si>
    <t>Superiore 95,0%</t>
  </si>
  <si>
    <t>Variabile X 1</t>
  </si>
  <si>
    <t>Prezzo previsto</t>
  </si>
  <si>
    <t>Il modello di regressione mostra un Rquadrato  molto basso, il che significa che il numero di strutture spiega solo lo 0,14% della variabilità del prezzo medio. La significatività e il p value della variabile X1 sono entrambi ben sopra la soglia critica del 5%. Il numero di strutturer presenti in una città non è un buon predittore del suo prezzo medio.</t>
  </si>
  <si>
    <t>Prezzo previsto Pesaro</t>
  </si>
  <si>
    <t>Il modello stima un prezzo medio di 70,87€ per la città di Pesaro. Tuttavia questa previsione è affidabile solo per i valori del numero di strutture di Pesaro.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</si>
</sst>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5" formatCode="#,##0.00\ &quot;€&quot;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4F6128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theme="4" tint="0.3999755851924192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  <border>
      <left style="medium">
        <color rgb="FF000000"/>
      </left>
      <right/>
      <top style="thin">
        <color theme="4" tint="0.39997558519241921"/>
      </top>
      <bottom/>
      <diagonal/>
    </border>
    <border>
      <left/>
      <right style="medium">
        <color rgb="FF000000"/>
      </right>
      <top style="thin">
        <color theme="4" tint="0.3999755851924192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44" fontId="19" fillId="0" borderId="0" applyFont="0" applyFill="0" applyBorder="0" applyAlignment="0" applyProtection="0"/>
  </cellStyleXfs>
  <cellXfs count="42">
    <xf numFmtId="0" fontId="0" fillId="0" borderId="0" xfId="0"/>
    <xf numFmtId="0" fontId="6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/>
    </xf>
    <xf numFmtId="0" fontId="13" fillId="6" borderId="1" xfId="0" applyFont="1" applyFill="1" applyBorder="1"/>
    <xf numFmtId="0" fontId="8" fillId="7" borderId="1" xfId="0" applyFont="1" applyFill="1" applyBorder="1"/>
    <xf numFmtId="0" fontId="8" fillId="0" borderId="5" xfId="0" applyFont="1" applyBorder="1"/>
    <xf numFmtId="0" fontId="8" fillId="0" borderId="6" xfId="0" applyFont="1" applyBorder="1"/>
    <xf numFmtId="0" fontId="9" fillId="7" borderId="2" xfId="0" applyFont="1" applyFill="1" applyBorder="1"/>
    <xf numFmtId="0" fontId="10" fillId="3" borderId="7" xfId="0" applyFont="1" applyFill="1" applyBorder="1" applyAlignment="1">
      <alignment horizontal="center"/>
    </xf>
    <xf numFmtId="0" fontId="11" fillId="0" borderId="2" xfId="0" applyFont="1" applyBorder="1"/>
    <xf numFmtId="0" fontId="11" fillId="4" borderId="7" xfId="0" applyFont="1" applyFill="1" applyBorder="1" applyAlignment="1">
      <alignment horizontal="center"/>
    </xf>
    <xf numFmtId="0" fontId="11" fillId="7" borderId="5" xfId="0" applyFont="1" applyFill="1" applyBorder="1"/>
    <xf numFmtId="0" fontId="11" fillId="4" borderId="8" xfId="0" applyFont="1" applyFill="1" applyBorder="1" applyAlignment="1">
      <alignment horizontal="center"/>
    </xf>
    <xf numFmtId="0" fontId="11" fillId="0" borderId="5" xfId="0" applyFont="1" applyBorder="1"/>
    <xf numFmtId="0" fontId="11" fillId="5" borderId="7" xfId="0" applyFont="1" applyFill="1" applyBorder="1" applyAlignment="1">
      <alignment horizontal="center"/>
    </xf>
    <xf numFmtId="0" fontId="11" fillId="7" borderId="3" xfId="0" applyFont="1" applyFill="1" applyBorder="1"/>
    <xf numFmtId="0" fontId="11" fillId="5" borderId="4" xfId="0" applyFont="1" applyFill="1" applyBorder="1" applyAlignment="1">
      <alignment horizontal="center"/>
    </xf>
    <xf numFmtId="0" fontId="0" fillId="9" borderId="0" xfId="0" applyFill="1"/>
    <xf numFmtId="0" fontId="5" fillId="9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5" fillId="8" borderId="9" xfId="0" applyFont="1" applyFill="1" applyBorder="1"/>
    <xf numFmtId="0" fontId="12" fillId="13" borderId="0" xfId="0" applyFont="1" applyFill="1"/>
    <xf numFmtId="0" fontId="0" fillId="13" borderId="0" xfId="0" applyFill="1"/>
    <xf numFmtId="0" fontId="4" fillId="0" borderId="0" xfId="0" applyFont="1"/>
    <xf numFmtId="0" fontId="3" fillId="0" borderId="0" xfId="0" applyFont="1"/>
    <xf numFmtId="9" fontId="0" fillId="0" borderId="0" xfId="1" applyFont="1"/>
    <xf numFmtId="0" fontId="15" fillId="0" borderId="0" xfId="0" applyFont="1"/>
    <xf numFmtId="0" fontId="17" fillId="0" borderId="0" xfId="0" applyFont="1"/>
    <xf numFmtId="0" fontId="18" fillId="0" borderId="0" xfId="0" applyFont="1"/>
    <xf numFmtId="0" fontId="16" fillId="0" borderId="0" xfId="0" applyFont="1"/>
    <xf numFmtId="0" fontId="2" fillId="0" borderId="0" xfId="0" applyFont="1"/>
    <xf numFmtId="0" fontId="1" fillId="0" borderId="0" xfId="0" applyFont="1"/>
    <xf numFmtId="0" fontId="12" fillId="14" borderId="0" xfId="0" applyFont="1" applyFill="1"/>
    <xf numFmtId="165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21" fillId="0" borderId="11" xfId="0" applyFont="1" applyFill="1" applyBorder="1" applyAlignment="1">
      <alignment horizontal="center"/>
    </xf>
    <xf numFmtId="0" fontId="21" fillId="0" borderId="11" xfId="0" applyFont="1" applyFill="1" applyBorder="1" applyAlignment="1">
      <alignment horizontal="centerContinuous"/>
    </xf>
    <xf numFmtId="44" fontId="0" fillId="0" borderId="0" xfId="2" applyFont="1"/>
  </cellXfs>
  <cellStyles count="3">
    <cellStyle name="Normale" xfId="0" builtinId="0"/>
    <cellStyle name="Percentuale" xfId="1" builtinId="5"/>
    <cellStyle name="Valuta" xfId="2" builtinId="4"/>
  </cellStyles>
  <dxfs count="10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  <a:p>
            <a:pPr>
              <a:defRPr/>
            </a:pP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'RICERCA (+es)'!$M$3:$M$236</c:f>
              <c:numCache>
                <c:formatCode>General</c:formatCode>
                <c:ptCount val="234"/>
                <c:pt idx="0">
                  <c:v>0</c:v>
                </c:pt>
                <c:pt idx="1">
                  <c:v>144</c:v>
                </c:pt>
                <c:pt idx="2">
                  <c:v>25</c:v>
                </c:pt>
                <c:pt idx="3">
                  <c:v>31</c:v>
                </c:pt>
                <c:pt idx="4">
                  <c:v>7</c:v>
                </c:pt>
                <c:pt idx="5">
                  <c:v>8</c:v>
                </c:pt>
                <c:pt idx="6">
                  <c:v>3</c:v>
                </c:pt>
                <c:pt idx="7">
                  <c:v>15</c:v>
                </c:pt>
                <c:pt idx="8">
                  <c:v>66</c:v>
                </c:pt>
                <c:pt idx="9">
                  <c:v>11</c:v>
                </c:pt>
                <c:pt idx="10">
                  <c:v>17</c:v>
                </c:pt>
                <c:pt idx="11">
                  <c:v>13</c:v>
                </c:pt>
                <c:pt idx="12">
                  <c:v>333</c:v>
                </c:pt>
                <c:pt idx="13">
                  <c:v>21</c:v>
                </c:pt>
                <c:pt idx="14">
                  <c:v>20</c:v>
                </c:pt>
                <c:pt idx="15">
                  <c:v>4</c:v>
                </c:pt>
                <c:pt idx="16">
                  <c:v>16</c:v>
                </c:pt>
                <c:pt idx="17">
                  <c:v>13</c:v>
                </c:pt>
                <c:pt idx="18">
                  <c:v>178</c:v>
                </c:pt>
                <c:pt idx="19">
                  <c:v>28</c:v>
                </c:pt>
                <c:pt idx="20">
                  <c:v>6</c:v>
                </c:pt>
                <c:pt idx="21">
                  <c:v>2</c:v>
                </c:pt>
                <c:pt idx="22">
                  <c:v>9</c:v>
                </c:pt>
                <c:pt idx="23">
                  <c:v>21</c:v>
                </c:pt>
                <c:pt idx="24">
                  <c:v>2</c:v>
                </c:pt>
                <c:pt idx="25">
                  <c:v>14</c:v>
                </c:pt>
                <c:pt idx="26">
                  <c:v>13</c:v>
                </c:pt>
                <c:pt idx="27">
                  <c:v>84</c:v>
                </c:pt>
                <c:pt idx="28">
                  <c:v>7</c:v>
                </c:pt>
                <c:pt idx="29">
                  <c:v>6</c:v>
                </c:pt>
                <c:pt idx="30">
                  <c:v>8</c:v>
                </c:pt>
                <c:pt idx="31">
                  <c:v>10</c:v>
                </c:pt>
                <c:pt idx="32">
                  <c:v>8</c:v>
                </c:pt>
                <c:pt idx="33">
                  <c:v>9</c:v>
                </c:pt>
                <c:pt idx="34">
                  <c:v>6</c:v>
                </c:pt>
                <c:pt idx="35">
                  <c:v>11</c:v>
                </c:pt>
                <c:pt idx="36">
                  <c:v>9</c:v>
                </c:pt>
                <c:pt idx="37">
                  <c:v>7</c:v>
                </c:pt>
                <c:pt idx="38">
                  <c:v>7</c:v>
                </c:pt>
                <c:pt idx="39">
                  <c:v>33</c:v>
                </c:pt>
                <c:pt idx="40">
                  <c:v>230</c:v>
                </c:pt>
                <c:pt idx="41">
                  <c:v>3</c:v>
                </c:pt>
                <c:pt idx="42">
                  <c:v>2</c:v>
                </c:pt>
                <c:pt idx="43">
                  <c:v>6</c:v>
                </c:pt>
                <c:pt idx="44">
                  <c:v>8</c:v>
                </c:pt>
                <c:pt idx="45">
                  <c:v>19</c:v>
                </c:pt>
                <c:pt idx="46">
                  <c:v>8</c:v>
                </c:pt>
                <c:pt idx="47">
                  <c:v>19</c:v>
                </c:pt>
                <c:pt idx="48">
                  <c:v>5</c:v>
                </c:pt>
                <c:pt idx="49">
                  <c:v>12</c:v>
                </c:pt>
                <c:pt idx="50">
                  <c:v>18</c:v>
                </c:pt>
                <c:pt idx="51">
                  <c:v>8</c:v>
                </c:pt>
                <c:pt idx="52">
                  <c:v>10</c:v>
                </c:pt>
                <c:pt idx="53">
                  <c:v>6</c:v>
                </c:pt>
                <c:pt idx="54">
                  <c:v>9</c:v>
                </c:pt>
                <c:pt idx="55">
                  <c:v>15</c:v>
                </c:pt>
                <c:pt idx="56">
                  <c:v>7</c:v>
                </c:pt>
                <c:pt idx="57">
                  <c:v>20</c:v>
                </c:pt>
                <c:pt idx="58">
                  <c:v>41</c:v>
                </c:pt>
                <c:pt idx="59">
                  <c:v>16</c:v>
                </c:pt>
                <c:pt idx="60">
                  <c:v>5</c:v>
                </c:pt>
                <c:pt idx="61">
                  <c:v>184</c:v>
                </c:pt>
                <c:pt idx="62">
                  <c:v>63</c:v>
                </c:pt>
                <c:pt idx="63">
                  <c:v>8</c:v>
                </c:pt>
                <c:pt idx="64">
                  <c:v>17</c:v>
                </c:pt>
                <c:pt idx="65">
                  <c:v>4</c:v>
                </c:pt>
                <c:pt idx="66">
                  <c:v>4</c:v>
                </c:pt>
                <c:pt idx="67">
                  <c:v>24</c:v>
                </c:pt>
                <c:pt idx="68">
                  <c:v>3</c:v>
                </c:pt>
                <c:pt idx="69">
                  <c:v>8</c:v>
                </c:pt>
                <c:pt idx="70">
                  <c:v>6</c:v>
                </c:pt>
                <c:pt idx="71">
                  <c:v>5</c:v>
                </c:pt>
                <c:pt idx="72">
                  <c:v>35</c:v>
                </c:pt>
                <c:pt idx="73">
                  <c:v>40</c:v>
                </c:pt>
                <c:pt idx="74">
                  <c:v>70</c:v>
                </c:pt>
                <c:pt idx="75">
                  <c:v>49</c:v>
                </c:pt>
                <c:pt idx="76">
                  <c:v>10</c:v>
                </c:pt>
                <c:pt idx="77">
                  <c:v>16</c:v>
                </c:pt>
                <c:pt idx="78">
                  <c:v>37</c:v>
                </c:pt>
                <c:pt idx="79">
                  <c:v>55</c:v>
                </c:pt>
                <c:pt idx="80">
                  <c:v>11</c:v>
                </c:pt>
                <c:pt idx="81">
                  <c:v>14</c:v>
                </c:pt>
                <c:pt idx="82">
                  <c:v>5</c:v>
                </c:pt>
                <c:pt idx="83">
                  <c:v>11</c:v>
                </c:pt>
                <c:pt idx="84">
                  <c:v>34</c:v>
                </c:pt>
                <c:pt idx="85">
                  <c:v>3</c:v>
                </c:pt>
                <c:pt idx="86">
                  <c:v>7</c:v>
                </c:pt>
                <c:pt idx="87">
                  <c:v>11</c:v>
                </c:pt>
                <c:pt idx="88">
                  <c:v>173</c:v>
                </c:pt>
                <c:pt idx="89">
                  <c:v>12</c:v>
                </c:pt>
                <c:pt idx="90">
                  <c:v>42</c:v>
                </c:pt>
                <c:pt idx="91">
                  <c:v>21</c:v>
                </c:pt>
                <c:pt idx="92">
                  <c:v>10</c:v>
                </c:pt>
                <c:pt idx="93">
                  <c:v>3</c:v>
                </c:pt>
                <c:pt idx="94">
                  <c:v>8</c:v>
                </c:pt>
                <c:pt idx="95">
                  <c:v>11</c:v>
                </c:pt>
                <c:pt idx="96">
                  <c:v>8</c:v>
                </c:pt>
                <c:pt idx="97">
                  <c:v>1</c:v>
                </c:pt>
                <c:pt idx="98">
                  <c:v>5</c:v>
                </c:pt>
                <c:pt idx="99">
                  <c:v>28</c:v>
                </c:pt>
                <c:pt idx="100">
                  <c:v>420</c:v>
                </c:pt>
                <c:pt idx="101">
                  <c:v>13</c:v>
                </c:pt>
                <c:pt idx="102">
                  <c:v>25</c:v>
                </c:pt>
                <c:pt idx="103">
                  <c:v>85</c:v>
                </c:pt>
                <c:pt idx="104">
                  <c:v>9</c:v>
                </c:pt>
                <c:pt idx="105">
                  <c:v>17</c:v>
                </c:pt>
                <c:pt idx="106">
                  <c:v>10</c:v>
                </c:pt>
                <c:pt idx="107">
                  <c:v>7</c:v>
                </c:pt>
                <c:pt idx="108">
                  <c:v>10</c:v>
                </c:pt>
                <c:pt idx="109">
                  <c:v>4</c:v>
                </c:pt>
                <c:pt idx="110">
                  <c:v>11</c:v>
                </c:pt>
                <c:pt idx="111">
                  <c:v>52</c:v>
                </c:pt>
                <c:pt idx="112">
                  <c:v>6</c:v>
                </c:pt>
                <c:pt idx="113">
                  <c:v>15</c:v>
                </c:pt>
                <c:pt idx="114">
                  <c:v>12</c:v>
                </c:pt>
                <c:pt idx="115">
                  <c:v>12</c:v>
                </c:pt>
                <c:pt idx="116">
                  <c:v>54</c:v>
                </c:pt>
                <c:pt idx="117">
                  <c:v>156</c:v>
                </c:pt>
                <c:pt idx="118">
                  <c:v>4</c:v>
                </c:pt>
                <c:pt idx="119">
                  <c:v>11</c:v>
                </c:pt>
                <c:pt idx="120">
                  <c:v>7</c:v>
                </c:pt>
                <c:pt idx="121">
                  <c:v>18</c:v>
                </c:pt>
                <c:pt idx="122">
                  <c:v>1</c:v>
                </c:pt>
                <c:pt idx="123">
                  <c:v>4</c:v>
                </c:pt>
                <c:pt idx="124">
                  <c:v>5</c:v>
                </c:pt>
                <c:pt idx="125">
                  <c:v>32</c:v>
                </c:pt>
                <c:pt idx="126">
                  <c:v>20</c:v>
                </c:pt>
                <c:pt idx="127">
                  <c:v>49</c:v>
                </c:pt>
                <c:pt idx="128">
                  <c:v>23</c:v>
                </c:pt>
                <c:pt idx="129">
                  <c:v>16</c:v>
                </c:pt>
                <c:pt idx="130">
                  <c:v>10</c:v>
                </c:pt>
                <c:pt idx="131">
                  <c:v>1</c:v>
                </c:pt>
                <c:pt idx="132">
                  <c:v>13</c:v>
                </c:pt>
                <c:pt idx="133">
                  <c:v>9</c:v>
                </c:pt>
                <c:pt idx="134">
                  <c:v>13</c:v>
                </c:pt>
                <c:pt idx="135">
                  <c:v>4</c:v>
                </c:pt>
                <c:pt idx="136">
                  <c:v>9</c:v>
                </c:pt>
                <c:pt idx="137">
                  <c:v>19</c:v>
                </c:pt>
                <c:pt idx="138">
                  <c:v>8</c:v>
                </c:pt>
                <c:pt idx="139">
                  <c:v>13</c:v>
                </c:pt>
                <c:pt idx="140">
                  <c:v>5</c:v>
                </c:pt>
                <c:pt idx="141">
                  <c:v>11</c:v>
                </c:pt>
                <c:pt idx="142">
                  <c:v>6</c:v>
                </c:pt>
                <c:pt idx="143">
                  <c:v>5</c:v>
                </c:pt>
                <c:pt idx="144">
                  <c:v>1</c:v>
                </c:pt>
                <c:pt idx="145">
                  <c:v>9</c:v>
                </c:pt>
                <c:pt idx="146">
                  <c:v>94</c:v>
                </c:pt>
                <c:pt idx="147">
                  <c:v>101</c:v>
                </c:pt>
                <c:pt idx="148">
                  <c:v>37</c:v>
                </c:pt>
                <c:pt idx="149">
                  <c:v>4</c:v>
                </c:pt>
                <c:pt idx="150">
                  <c:v>34</c:v>
                </c:pt>
                <c:pt idx="151">
                  <c:v>56</c:v>
                </c:pt>
                <c:pt idx="152">
                  <c:v>5</c:v>
                </c:pt>
                <c:pt idx="153">
                  <c:v>40</c:v>
                </c:pt>
                <c:pt idx="154">
                  <c:v>5</c:v>
                </c:pt>
                <c:pt idx="155">
                  <c:v>10</c:v>
                </c:pt>
                <c:pt idx="156">
                  <c:v>4</c:v>
                </c:pt>
                <c:pt idx="157">
                  <c:v>37</c:v>
                </c:pt>
                <c:pt idx="158">
                  <c:v>42</c:v>
                </c:pt>
                <c:pt idx="159">
                  <c:v>5</c:v>
                </c:pt>
                <c:pt idx="160">
                  <c:v>19</c:v>
                </c:pt>
                <c:pt idx="161">
                  <c:v>20</c:v>
                </c:pt>
                <c:pt idx="162">
                  <c:v>26</c:v>
                </c:pt>
                <c:pt idx="163">
                  <c:v>19</c:v>
                </c:pt>
                <c:pt idx="164">
                  <c:v>4</c:v>
                </c:pt>
                <c:pt idx="165">
                  <c:v>22</c:v>
                </c:pt>
                <c:pt idx="166">
                  <c:v>161</c:v>
                </c:pt>
                <c:pt idx="167">
                  <c:v>10</c:v>
                </c:pt>
                <c:pt idx="168">
                  <c:v>7</c:v>
                </c:pt>
                <c:pt idx="169">
                  <c:v>14</c:v>
                </c:pt>
                <c:pt idx="170">
                  <c:v>8</c:v>
                </c:pt>
                <c:pt idx="171">
                  <c:v>5</c:v>
                </c:pt>
                <c:pt idx="172">
                  <c:v>11</c:v>
                </c:pt>
                <c:pt idx="173">
                  <c:v>19</c:v>
                </c:pt>
                <c:pt idx="174">
                  <c:v>72</c:v>
                </c:pt>
                <c:pt idx="175">
                  <c:v>4</c:v>
                </c:pt>
                <c:pt idx="176">
                  <c:v>6</c:v>
                </c:pt>
                <c:pt idx="177">
                  <c:v>142</c:v>
                </c:pt>
                <c:pt idx="178">
                  <c:v>2</c:v>
                </c:pt>
                <c:pt idx="179">
                  <c:v>22</c:v>
                </c:pt>
                <c:pt idx="180">
                  <c:v>13</c:v>
                </c:pt>
                <c:pt idx="181">
                  <c:v>23</c:v>
                </c:pt>
                <c:pt idx="182">
                  <c:v>12</c:v>
                </c:pt>
                <c:pt idx="183">
                  <c:v>22</c:v>
                </c:pt>
                <c:pt idx="184">
                  <c:v>9</c:v>
                </c:pt>
                <c:pt idx="185">
                  <c:v>31</c:v>
                </c:pt>
                <c:pt idx="186">
                  <c:v>12</c:v>
                </c:pt>
                <c:pt idx="187">
                  <c:v>45</c:v>
                </c:pt>
                <c:pt idx="188">
                  <c:v>1</c:v>
                </c:pt>
                <c:pt idx="189">
                  <c:v>36</c:v>
                </c:pt>
                <c:pt idx="190">
                  <c:v>17</c:v>
                </c:pt>
                <c:pt idx="191">
                  <c:v>6</c:v>
                </c:pt>
                <c:pt idx="192">
                  <c:v>301</c:v>
                </c:pt>
                <c:pt idx="193">
                  <c:v>10</c:v>
                </c:pt>
                <c:pt idx="194">
                  <c:v>3</c:v>
                </c:pt>
                <c:pt idx="195">
                  <c:v>14</c:v>
                </c:pt>
                <c:pt idx="196">
                  <c:v>27</c:v>
                </c:pt>
                <c:pt idx="197">
                  <c:v>6</c:v>
                </c:pt>
                <c:pt idx="198">
                  <c:v>18</c:v>
                </c:pt>
                <c:pt idx="199">
                  <c:v>7</c:v>
                </c:pt>
                <c:pt idx="200">
                  <c:v>138</c:v>
                </c:pt>
                <c:pt idx="201">
                  <c:v>2</c:v>
                </c:pt>
                <c:pt idx="202">
                  <c:v>4</c:v>
                </c:pt>
                <c:pt idx="203">
                  <c:v>22</c:v>
                </c:pt>
                <c:pt idx="204">
                  <c:v>3</c:v>
                </c:pt>
                <c:pt idx="205">
                  <c:v>1</c:v>
                </c:pt>
                <c:pt idx="206">
                  <c:v>3</c:v>
                </c:pt>
                <c:pt idx="207">
                  <c:v>4</c:v>
                </c:pt>
                <c:pt idx="208">
                  <c:v>9</c:v>
                </c:pt>
                <c:pt idx="209">
                  <c:v>20</c:v>
                </c:pt>
                <c:pt idx="210">
                  <c:v>10</c:v>
                </c:pt>
                <c:pt idx="211">
                  <c:v>9</c:v>
                </c:pt>
                <c:pt idx="212">
                  <c:v>11</c:v>
                </c:pt>
                <c:pt idx="213">
                  <c:v>2</c:v>
                </c:pt>
                <c:pt idx="214">
                  <c:v>16</c:v>
                </c:pt>
                <c:pt idx="215">
                  <c:v>7</c:v>
                </c:pt>
                <c:pt idx="216">
                  <c:v>13</c:v>
                </c:pt>
                <c:pt idx="217">
                  <c:v>6</c:v>
                </c:pt>
                <c:pt idx="218">
                  <c:v>5</c:v>
                </c:pt>
                <c:pt idx="219">
                  <c:v>2</c:v>
                </c:pt>
                <c:pt idx="220">
                  <c:v>3</c:v>
                </c:pt>
                <c:pt idx="221">
                  <c:v>7</c:v>
                </c:pt>
                <c:pt idx="222">
                  <c:v>4</c:v>
                </c:pt>
                <c:pt idx="223">
                  <c:v>10</c:v>
                </c:pt>
                <c:pt idx="224">
                  <c:v>9</c:v>
                </c:pt>
                <c:pt idx="225">
                  <c:v>18</c:v>
                </c:pt>
                <c:pt idx="226">
                  <c:v>4</c:v>
                </c:pt>
                <c:pt idx="227">
                  <c:v>104</c:v>
                </c:pt>
                <c:pt idx="228">
                  <c:v>81</c:v>
                </c:pt>
                <c:pt idx="229">
                  <c:v>3</c:v>
                </c:pt>
                <c:pt idx="230">
                  <c:v>12</c:v>
                </c:pt>
                <c:pt idx="231">
                  <c:v>23</c:v>
                </c:pt>
                <c:pt idx="232">
                  <c:v>5</c:v>
                </c:pt>
                <c:pt idx="233">
                  <c:v>13</c:v>
                </c:pt>
              </c:numCache>
            </c:numRef>
          </c:xVal>
          <c:yVal>
            <c:numRef>
              <c:f>'RICERCA (+es)'!$N$3:$N$236</c:f>
              <c:numCache>
                <c:formatCode>General</c:formatCode>
                <c:ptCount val="234"/>
                <c:pt idx="0">
                  <c:v>31</c:v>
                </c:pt>
                <c:pt idx="1">
                  <c:v>75</c:v>
                </c:pt>
                <c:pt idx="2">
                  <c:v>77</c:v>
                </c:pt>
                <c:pt idx="3">
                  <c:v>93</c:v>
                </c:pt>
                <c:pt idx="4">
                  <c:v>83</c:v>
                </c:pt>
                <c:pt idx="5">
                  <c:v>49</c:v>
                </c:pt>
                <c:pt idx="6">
                  <c:v>58</c:v>
                </c:pt>
                <c:pt idx="7">
                  <c:v>64</c:v>
                </c:pt>
                <c:pt idx="8">
                  <c:v>106</c:v>
                </c:pt>
                <c:pt idx="9">
                  <c:v>118</c:v>
                </c:pt>
                <c:pt idx="10">
                  <c:v>36</c:v>
                </c:pt>
                <c:pt idx="11">
                  <c:v>120</c:v>
                </c:pt>
                <c:pt idx="12">
                  <c:v>88</c:v>
                </c:pt>
                <c:pt idx="13">
                  <c:v>66</c:v>
                </c:pt>
                <c:pt idx="14">
                  <c:v>119</c:v>
                </c:pt>
                <c:pt idx="15">
                  <c:v>52</c:v>
                </c:pt>
                <c:pt idx="16">
                  <c:v>75</c:v>
                </c:pt>
                <c:pt idx="17">
                  <c:v>112</c:v>
                </c:pt>
                <c:pt idx="18">
                  <c:v>87</c:v>
                </c:pt>
                <c:pt idx="19">
                  <c:v>46</c:v>
                </c:pt>
                <c:pt idx="20">
                  <c:v>36</c:v>
                </c:pt>
                <c:pt idx="21">
                  <c:v>32</c:v>
                </c:pt>
                <c:pt idx="22">
                  <c:v>85</c:v>
                </c:pt>
                <c:pt idx="23">
                  <c:v>120</c:v>
                </c:pt>
                <c:pt idx="24">
                  <c:v>39</c:v>
                </c:pt>
                <c:pt idx="25">
                  <c:v>116</c:v>
                </c:pt>
                <c:pt idx="26">
                  <c:v>64</c:v>
                </c:pt>
                <c:pt idx="27">
                  <c:v>46</c:v>
                </c:pt>
                <c:pt idx="28">
                  <c:v>78</c:v>
                </c:pt>
                <c:pt idx="29">
                  <c:v>48</c:v>
                </c:pt>
                <c:pt idx="30">
                  <c:v>51</c:v>
                </c:pt>
                <c:pt idx="31">
                  <c:v>61</c:v>
                </c:pt>
                <c:pt idx="32">
                  <c:v>107</c:v>
                </c:pt>
                <c:pt idx="33">
                  <c:v>49</c:v>
                </c:pt>
                <c:pt idx="34">
                  <c:v>120</c:v>
                </c:pt>
                <c:pt idx="35">
                  <c:v>119</c:v>
                </c:pt>
                <c:pt idx="36">
                  <c:v>85</c:v>
                </c:pt>
                <c:pt idx="37">
                  <c:v>109</c:v>
                </c:pt>
                <c:pt idx="38">
                  <c:v>35</c:v>
                </c:pt>
                <c:pt idx="39">
                  <c:v>86</c:v>
                </c:pt>
                <c:pt idx="40">
                  <c:v>78</c:v>
                </c:pt>
                <c:pt idx="41">
                  <c:v>39</c:v>
                </c:pt>
                <c:pt idx="42">
                  <c:v>58</c:v>
                </c:pt>
                <c:pt idx="43">
                  <c:v>119</c:v>
                </c:pt>
                <c:pt idx="44">
                  <c:v>117</c:v>
                </c:pt>
                <c:pt idx="45">
                  <c:v>56</c:v>
                </c:pt>
                <c:pt idx="46">
                  <c:v>78</c:v>
                </c:pt>
                <c:pt idx="47">
                  <c:v>71</c:v>
                </c:pt>
                <c:pt idx="48">
                  <c:v>95</c:v>
                </c:pt>
                <c:pt idx="49">
                  <c:v>33</c:v>
                </c:pt>
                <c:pt idx="50">
                  <c:v>56</c:v>
                </c:pt>
                <c:pt idx="51">
                  <c:v>38</c:v>
                </c:pt>
                <c:pt idx="52">
                  <c:v>90</c:v>
                </c:pt>
                <c:pt idx="53">
                  <c:v>66</c:v>
                </c:pt>
                <c:pt idx="54">
                  <c:v>34</c:v>
                </c:pt>
                <c:pt idx="55">
                  <c:v>103</c:v>
                </c:pt>
                <c:pt idx="56">
                  <c:v>120</c:v>
                </c:pt>
                <c:pt idx="57">
                  <c:v>72</c:v>
                </c:pt>
                <c:pt idx="58">
                  <c:v>39</c:v>
                </c:pt>
                <c:pt idx="59">
                  <c:v>81</c:v>
                </c:pt>
                <c:pt idx="60">
                  <c:v>34</c:v>
                </c:pt>
                <c:pt idx="61">
                  <c:v>49</c:v>
                </c:pt>
                <c:pt idx="62">
                  <c:v>52</c:v>
                </c:pt>
                <c:pt idx="63">
                  <c:v>43</c:v>
                </c:pt>
                <c:pt idx="64">
                  <c:v>55</c:v>
                </c:pt>
                <c:pt idx="65">
                  <c:v>108</c:v>
                </c:pt>
                <c:pt idx="66">
                  <c:v>37</c:v>
                </c:pt>
                <c:pt idx="67">
                  <c:v>65</c:v>
                </c:pt>
                <c:pt idx="68">
                  <c:v>78</c:v>
                </c:pt>
                <c:pt idx="69">
                  <c:v>115</c:v>
                </c:pt>
                <c:pt idx="70">
                  <c:v>52</c:v>
                </c:pt>
                <c:pt idx="71">
                  <c:v>75</c:v>
                </c:pt>
                <c:pt idx="72">
                  <c:v>39</c:v>
                </c:pt>
                <c:pt idx="73">
                  <c:v>40</c:v>
                </c:pt>
                <c:pt idx="74">
                  <c:v>34</c:v>
                </c:pt>
                <c:pt idx="75">
                  <c:v>60</c:v>
                </c:pt>
                <c:pt idx="76">
                  <c:v>93</c:v>
                </c:pt>
                <c:pt idx="77">
                  <c:v>120</c:v>
                </c:pt>
                <c:pt idx="78">
                  <c:v>81</c:v>
                </c:pt>
                <c:pt idx="79">
                  <c:v>33</c:v>
                </c:pt>
                <c:pt idx="80">
                  <c:v>73</c:v>
                </c:pt>
                <c:pt idx="81">
                  <c:v>41</c:v>
                </c:pt>
                <c:pt idx="82">
                  <c:v>58</c:v>
                </c:pt>
                <c:pt idx="83">
                  <c:v>37</c:v>
                </c:pt>
                <c:pt idx="84">
                  <c:v>68</c:v>
                </c:pt>
                <c:pt idx="85">
                  <c:v>74</c:v>
                </c:pt>
                <c:pt idx="86">
                  <c:v>116</c:v>
                </c:pt>
                <c:pt idx="87">
                  <c:v>87</c:v>
                </c:pt>
                <c:pt idx="88">
                  <c:v>65</c:v>
                </c:pt>
                <c:pt idx="89">
                  <c:v>32</c:v>
                </c:pt>
                <c:pt idx="90">
                  <c:v>101</c:v>
                </c:pt>
                <c:pt idx="91">
                  <c:v>59</c:v>
                </c:pt>
                <c:pt idx="92">
                  <c:v>38</c:v>
                </c:pt>
                <c:pt idx="93">
                  <c:v>119</c:v>
                </c:pt>
                <c:pt idx="94">
                  <c:v>79</c:v>
                </c:pt>
                <c:pt idx="95">
                  <c:v>61</c:v>
                </c:pt>
                <c:pt idx="96">
                  <c:v>57</c:v>
                </c:pt>
                <c:pt idx="97">
                  <c:v>75</c:v>
                </c:pt>
                <c:pt idx="98">
                  <c:v>54</c:v>
                </c:pt>
                <c:pt idx="99">
                  <c:v>59</c:v>
                </c:pt>
                <c:pt idx="100">
                  <c:v>54</c:v>
                </c:pt>
                <c:pt idx="101">
                  <c:v>51</c:v>
                </c:pt>
                <c:pt idx="102">
                  <c:v>50</c:v>
                </c:pt>
                <c:pt idx="103">
                  <c:v>49</c:v>
                </c:pt>
                <c:pt idx="104">
                  <c:v>115</c:v>
                </c:pt>
                <c:pt idx="105">
                  <c:v>100</c:v>
                </c:pt>
                <c:pt idx="106">
                  <c:v>50</c:v>
                </c:pt>
                <c:pt idx="107">
                  <c:v>44</c:v>
                </c:pt>
                <c:pt idx="108">
                  <c:v>42</c:v>
                </c:pt>
                <c:pt idx="109">
                  <c:v>33</c:v>
                </c:pt>
                <c:pt idx="110">
                  <c:v>88</c:v>
                </c:pt>
                <c:pt idx="111">
                  <c:v>116</c:v>
                </c:pt>
                <c:pt idx="112">
                  <c:v>32</c:v>
                </c:pt>
                <c:pt idx="113">
                  <c:v>31</c:v>
                </c:pt>
                <c:pt idx="114">
                  <c:v>76</c:v>
                </c:pt>
                <c:pt idx="115">
                  <c:v>76</c:v>
                </c:pt>
                <c:pt idx="116">
                  <c:v>40</c:v>
                </c:pt>
                <c:pt idx="117">
                  <c:v>103</c:v>
                </c:pt>
                <c:pt idx="118">
                  <c:v>72</c:v>
                </c:pt>
                <c:pt idx="119">
                  <c:v>91</c:v>
                </c:pt>
                <c:pt idx="120">
                  <c:v>32</c:v>
                </c:pt>
                <c:pt idx="121">
                  <c:v>118</c:v>
                </c:pt>
                <c:pt idx="122">
                  <c:v>97</c:v>
                </c:pt>
                <c:pt idx="123">
                  <c:v>30</c:v>
                </c:pt>
                <c:pt idx="124">
                  <c:v>106</c:v>
                </c:pt>
                <c:pt idx="125">
                  <c:v>108</c:v>
                </c:pt>
                <c:pt idx="126">
                  <c:v>53</c:v>
                </c:pt>
                <c:pt idx="127">
                  <c:v>57</c:v>
                </c:pt>
                <c:pt idx="128">
                  <c:v>97</c:v>
                </c:pt>
                <c:pt idx="129">
                  <c:v>69</c:v>
                </c:pt>
                <c:pt idx="130">
                  <c:v>108</c:v>
                </c:pt>
                <c:pt idx="131">
                  <c:v>35</c:v>
                </c:pt>
                <c:pt idx="132">
                  <c:v>30</c:v>
                </c:pt>
                <c:pt idx="133">
                  <c:v>49</c:v>
                </c:pt>
                <c:pt idx="134">
                  <c:v>59</c:v>
                </c:pt>
                <c:pt idx="135">
                  <c:v>58</c:v>
                </c:pt>
                <c:pt idx="136">
                  <c:v>46</c:v>
                </c:pt>
                <c:pt idx="137">
                  <c:v>89</c:v>
                </c:pt>
                <c:pt idx="138">
                  <c:v>30</c:v>
                </c:pt>
                <c:pt idx="139">
                  <c:v>103</c:v>
                </c:pt>
                <c:pt idx="140">
                  <c:v>117</c:v>
                </c:pt>
                <c:pt idx="141">
                  <c:v>53</c:v>
                </c:pt>
                <c:pt idx="142">
                  <c:v>66</c:v>
                </c:pt>
                <c:pt idx="143">
                  <c:v>114</c:v>
                </c:pt>
                <c:pt idx="144">
                  <c:v>39</c:v>
                </c:pt>
                <c:pt idx="145">
                  <c:v>69</c:v>
                </c:pt>
                <c:pt idx="146">
                  <c:v>106</c:v>
                </c:pt>
                <c:pt idx="147">
                  <c:v>93</c:v>
                </c:pt>
                <c:pt idx="148">
                  <c:v>46</c:v>
                </c:pt>
                <c:pt idx="149">
                  <c:v>103</c:v>
                </c:pt>
                <c:pt idx="150">
                  <c:v>115</c:v>
                </c:pt>
                <c:pt idx="151">
                  <c:v>104</c:v>
                </c:pt>
                <c:pt idx="152">
                  <c:v>78</c:v>
                </c:pt>
                <c:pt idx="153">
                  <c:v>69</c:v>
                </c:pt>
                <c:pt idx="154">
                  <c:v>62</c:v>
                </c:pt>
                <c:pt idx="155">
                  <c:v>64</c:v>
                </c:pt>
                <c:pt idx="156">
                  <c:v>66</c:v>
                </c:pt>
                <c:pt idx="157">
                  <c:v>63</c:v>
                </c:pt>
                <c:pt idx="158">
                  <c:v>38</c:v>
                </c:pt>
                <c:pt idx="159">
                  <c:v>75</c:v>
                </c:pt>
                <c:pt idx="160">
                  <c:v>36</c:v>
                </c:pt>
                <c:pt idx="161">
                  <c:v>98</c:v>
                </c:pt>
                <c:pt idx="162">
                  <c:v>61</c:v>
                </c:pt>
                <c:pt idx="163">
                  <c:v>86</c:v>
                </c:pt>
                <c:pt idx="164">
                  <c:v>31</c:v>
                </c:pt>
                <c:pt idx="165">
                  <c:v>100</c:v>
                </c:pt>
                <c:pt idx="166">
                  <c:v>31</c:v>
                </c:pt>
                <c:pt idx="167">
                  <c:v>94</c:v>
                </c:pt>
                <c:pt idx="168">
                  <c:v>45</c:v>
                </c:pt>
                <c:pt idx="169">
                  <c:v>96</c:v>
                </c:pt>
                <c:pt idx="170">
                  <c:v>104</c:v>
                </c:pt>
                <c:pt idx="171">
                  <c:v>65</c:v>
                </c:pt>
                <c:pt idx="172">
                  <c:v>90</c:v>
                </c:pt>
                <c:pt idx="173">
                  <c:v>102</c:v>
                </c:pt>
                <c:pt idx="174">
                  <c:v>80</c:v>
                </c:pt>
                <c:pt idx="175">
                  <c:v>56</c:v>
                </c:pt>
                <c:pt idx="176">
                  <c:v>87</c:v>
                </c:pt>
                <c:pt idx="177">
                  <c:v>87</c:v>
                </c:pt>
                <c:pt idx="178">
                  <c:v>79</c:v>
                </c:pt>
                <c:pt idx="179">
                  <c:v>76</c:v>
                </c:pt>
                <c:pt idx="180">
                  <c:v>67</c:v>
                </c:pt>
                <c:pt idx="181">
                  <c:v>119</c:v>
                </c:pt>
                <c:pt idx="182">
                  <c:v>82</c:v>
                </c:pt>
                <c:pt idx="183">
                  <c:v>101</c:v>
                </c:pt>
                <c:pt idx="184">
                  <c:v>92</c:v>
                </c:pt>
                <c:pt idx="185">
                  <c:v>52</c:v>
                </c:pt>
                <c:pt idx="186">
                  <c:v>54</c:v>
                </c:pt>
                <c:pt idx="187">
                  <c:v>44</c:v>
                </c:pt>
                <c:pt idx="188">
                  <c:v>34</c:v>
                </c:pt>
                <c:pt idx="189">
                  <c:v>111</c:v>
                </c:pt>
                <c:pt idx="190">
                  <c:v>74</c:v>
                </c:pt>
                <c:pt idx="191">
                  <c:v>85</c:v>
                </c:pt>
                <c:pt idx="192">
                  <c:v>33</c:v>
                </c:pt>
                <c:pt idx="193">
                  <c:v>110</c:v>
                </c:pt>
                <c:pt idx="194">
                  <c:v>71</c:v>
                </c:pt>
                <c:pt idx="195">
                  <c:v>84</c:v>
                </c:pt>
                <c:pt idx="196">
                  <c:v>75</c:v>
                </c:pt>
                <c:pt idx="197">
                  <c:v>109</c:v>
                </c:pt>
                <c:pt idx="198">
                  <c:v>95</c:v>
                </c:pt>
                <c:pt idx="199">
                  <c:v>42</c:v>
                </c:pt>
                <c:pt idx="200">
                  <c:v>106</c:v>
                </c:pt>
                <c:pt idx="201">
                  <c:v>51</c:v>
                </c:pt>
                <c:pt idx="202">
                  <c:v>108</c:v>
                </c:pt>
                <c:pt idx="203">
                  <c:v>47</c:v>
                </c:pt>
                <c:pt idx="204">
                  <c:v>111</c:v>
                </c:pt>
                <c:pt idx="205">
                  <c:v>113</c:v>
                </c:pt>
                <c:pt idx="206">
                  <c:v>81</c:v>
                </c:pt>
                <c:pt idx="207">
                  <c:v>57</c:v>
                </c:pt>
                <c:pt idx="208">
                  <c:v>33</c:v>
                </c:pt>
                <c:pt idx="209">
                  <c:v>62</c:v>
                </c:pt>
                <c:pt idx="210">
                  <c:v>82</c:v>
                </c:pt>
                <c:pt idx="211">
                  <c:v>94</c:v>
                </c:pt>
                <c:pt idx="212">
                  <c:v>109</c:v>
                </c:pt>
                <c:pt idx="213">
                  <c:v>112</c:v>
                </c:pt>
                <c:pt idx="214">
                  <c:v>113</c:v>
                </c:pt>
                <c:pt idx="215">
                  <c:v>78</c:v>
                </c:pt>
                <c:pt idx="216">
                  <c:v>114</c:v>
                </c:pt>
                <c:pt idx="217">
                  <c:v>43</c:v>
                </c:pt>
                <c:pt idx="218">
                  <c:v>80</c:v>
                </c:pt>
                <c:pt idx="219">
                  <c:v>93</c:v>
                </c:pt>
                <c:pt idx="220">
                  <c:v>101</c:v>
                </c:pt>
                <c:pt idx="221">
                  <c:v>68</c:v>
                </c:pt>
                <c:pt idx="222">
                  <c:v>53</c:v>
                </c:pt>
                <c:pt idx="223">
                  <c:v>64</c:v>
                </c:pt>
                <c:pt idx="224">
                  <c:v>90</c:v>
                </c:pt>
                <c:pt idx="225">
                  <c:v>105</c:v>
                </c:pt>
                <c:pt idx="226">
                  <c:v>70</c:v>
                </c:pt>
                <c:pt idx="227">
                  <c:v>74</c:v>
                </c:pt>
                <c:pt idx="228">
                  <c:v>110</c:v>
                </c:pt>
                <c:pt idx="229">
                  <c:v>112</c:v>
                </c:pt>
                <c:pt idx="230">
                  <c:v>54</c:v>
                </c:pt>
                <c:pt idx="231">
                  <c:v>83</c:v>
                </c:pt>
                <c:pt idx="232">
                  <c:v>113</c:v>
                </c:pt>
                <c:pt idx="23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FD-4F61-BDFD-1DEB53403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253503"/>
        <c:axId val="1286763055"/>
      </c:scatterChart>
      <c:valAx>
        <c:axId val="1280253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86763055"/>
        <c:crosses val="autoZero"/>
        <c:crossBetween val="midCat"/>
      </c:valAx>
      <c:valAx>
        <c:axId val="128676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80253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15240</xdr:colOff>
      <xdr:row>6</xdr:row>
      <xdr:rowOff>125730</xdr:rowOff>
    </xdr:from>
    <xdr:to>
      <xdr:col>22</xdr:col>
      <xdr:colOff>304800</xdr:colOff>
      <xdr:row>21</xdr:row>
      <xdr:rowOff>110490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81961A2-D96C-2BAA-4664-D9AD5288D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vin\Downloads\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42B7B9AC-CB94-4CE1-81DB-649930BD9D67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1" name="CITTA'" tableColumnId="1"/>
      <queryTableField id="2" name="PREZZO MEDIO" tableColumnId="2"/>
      <queryTableField id="4" dataBound="0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41493C-F14B-4F1B-B4BE-38347FD6A884}" name="Tabella1" displayName="Tabella1" ref="A1:G6259" totalsRowShown="0" headerRowDxfId="9" dataDxfId="8">
  <autoFilter ref="A1:G6259" xr:uid="{0641493C-F14B-4F1B-B4BE-38347FD6A884}"/>
  <tableColumns count="7">
    <tableColumn id="1" xr3:uid="{CAACA7C7-3784-4F68-AD53-38662C2822C7}" name="Categoria" dataDxfId="7"/>
    <tableColumn id="2" xr3:uid="{97B642CD-E5F4-4920-AF57-9F77B08A713D}" name="Denominazione" dataDxfId="6"/>
    <tableColumn id="3" xr3:uid="{4E8E3CD1-9954-4ECF-B622-72E39A343DDC}" name="Indirizzo" dataDxfId="5"/>
    <tableColumn id="4" xr3:uid="{30DBC2DF-CB30-48D2-85BF-C205D22C096B}" name="Città" dataDxfId="4"/>
    <tableColumn id="5" xr3:uid="{B4DF57E2-EDA1-405B-BFF7-9142FBC5FD68}" name="Localita"/>
    <tableColumn id="6" xr3:uid="{36502C6E-58F5-456F-9420-400D0EE8B7AA}" name="Indirizzo internet" dataDxfId="3"/>
    <tableColumn id="7" xr3:uid="{70CE7A13-95F2-4861-BAB6-B292266275B0}" name="Indirizzo di posta elettronica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8CD29E-A1E1-4F8E-A6A0-D4BEA2938ACF}" name="prezzi__2" displayName="prezzi__2" ref="A1:C235" tableType="queryTable" totalsRowShown="0">
  <autoFilter ref="A1:C235" xr:uid="{588CD29E-A1E1-4F8E-A6A0-D4BEA2938ACF}"/>
  <tableColumns count="3">
    <tableColumn id="1" xr3:uid="{C2F74613-96A7-44BE-ACF2-E7D3A87A2DD3}" uniqueName="1" name="CITTA'" queryTableFieldId="1" dataDxfId="0"/>
    <tableColumn id="2" xr3:uid="{E45DD198-7AC4-4AE6-A3B9-E0D1246DC708}" uniqueName="2" name="PREZZO MEDIO" queryTableFieldId="2"/>
    <tableColumn id="4" xr3:uid="{E0B2DF46-6168-471E-9DE5-8A41C5A4E3BC}" uniqueName="4" name="OUTLIER" queryTableFieldId="4">
      <calculatedColumnFormula>IF(OR(B2&lt;$M$5,B2&gt;$M$4),"OUTLIER"," 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7754C7-C0A2-4BAB-8FAB-3DE5E908E880}" name="Tabella4" displayName="Tabella4" ref="I2:J10" totalsRowShown="0">
  <autoFilter ref="I2:J10" xr:uid="{537754C7-C0A2-4BAB-8FAB-3DE5E908E880}"/>
  <tableColumns count="2">
    <tableColumn id="1" xr3:uid="{8669190C-B8EB-480C-9357-D91066AD2D84}" name="CLASSE PREZZO" dataDxfId="1"/>
    <tableColumn id="2" xr3:uid="{80FA6EB1-4BC4-42DC-87CA-71DF12E0430C}" name="FREQUENZ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578A-68CB-47F1-B758-9EBE4C79350E}">
  <dimension ref="D1"/>
  <sheetViews>
    <sheetView workbookViewId="0">
      <selection activeCell="D2" sqref="D2"/>
    </sheetView>
  </sheetViews>
  <sheetFormatPr defaultRowHeight="14.4" x14ac:dyDescent="0.3"/>
  <cols>
    <col min="1" max="1" width="28.44140625" bestFit="1" customWidth="1"/>
    <col min="2" max="2" width="31.6640625" bestFit="1" customWidth="1"/>
    <col min="3" max="3" width="18" bestFit="1" customWidth="1"/>
    <col min="4" max="4" width="43" bestFit="1" customWidth="1"/>
    <col min="5" max="5" width="28.44140625" bestFit="1" customWidth="1"/>
    <col min="6" max="6" width="58" bestFit="1" customWidth="1"/>
    <col min="7" max="7" width="59.5546875" bestFit="1" customWidth="1"/>
    <col min="8" max="8" width="51" bestFit="1" customWidth="1"/>
  </cols>
  <sheetData>
    <row r="1" spans="4:4" x14ac:dyDescent="0.3">
      <c r="D1" s="2" t="s">
        <v>19737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workbookViewId="0">
      <selection activeCell="A5" sqref="A5:G5"/>
    </sheetView>
  </sheetViews>
  <sheetFormatPr defaultColWidth="14.44140625" defaultRowHeight="15" customHeight="1" x14ac:dyDescent="0.3"/>
  <cols>
    <col min="1" max="1" width="29" customWidth="1"/>
    <col min="2" max="2" width="35.5546875" customWidth="1"/>
    <col min="3" max="3" width="41" customWidth="1"/>
    <col min="4" max="4" width="26.88671875" customWidth="1"/>
    <col min="5" max="5" width="46.33203125" customWidth="1"/>
    <col min="6" max="6" width="57" customWidth="1"/>
    <col min="7" max="7" width="48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x14ac:dyDescent="0.3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x14ac:dyDescent="0.3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x14ac:dyDescent="0.3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x14ac:dyDescent="0.3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x14ac:dyDescent="0.3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x14ac:dyDescent="0.3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 x14ac:dyDescent="0.3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x14ac:dyDescent="0.3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x14ac:dyDescent="0.3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 x14ac:dyDescent="0.3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x14ac:dyDescent="0.3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 x14ac:dyDescent="0.3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 x14ac:dyDescent="0.3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x14ac:dyDescent="0.3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x14ac:dyDescent="0.3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 x14ac:dyDescent="0.3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x14ac:dyDescent="0.3">
      <c r="A20" s="1" t="s">
        <v>36</v>
      </c>
      <c r="B20" s="1" t="s">
        <v>73</v>
      </c>
      <c r="C20" s="1" t="s">
        <v>74</v>
      </c>
      <c r="D20" s="1" t="s">
        <v>16</v>
      </c>
    </row>
    <row r="21" spans="1:7" x14ac:dyDescent="0.3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x14ac:dyDescent="0.3">
      <c r="A22" s="1" t="s">
        <v>13</v>
      </c>
      <c r="B22" s="1" t="s">
        <v>80</v>
      </c>
      <c r="D22" s="1" t="s">
        <v>16</v>
      </c>
    </row>
    <row r="23" spans="1:7" x14ac:dyDescent="0.3">
      <c r="A23" s="1" t="s">
        <v>13</v>
      </c>
      <c r="B23" s="1" t="s">
        <v>81</v>
      </c>
      <c r="C23" s="1" t="s">
        <v>82</v>
      </c>
      <c r="D23" s="1" t="s">
        <v>16</v>
      </c>
    </row>
    <row r="24" spans="1:7" x14ac:dyDescent="0.3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x14ac:dyDescent="0.3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x14ac:dyDescent="0.3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 x14ac:dyDescent="0.3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 x14ac:dyDescent="0.3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 x14ac:dyDescent="0.3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 x14ac:dyDescent="0.3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 x14ac:dyDescent="0.3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x14ac:dyDescent="0.3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x14ac:dyDescent="0.3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 x14ac:dyDescent="0.3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 x14ac:dyDescent="0.3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x14ac:dyDescent="0.3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 x14ac:dyDescent="0.3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x14ac:dyDescent="0.3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 x14ac:dyDescent="0.3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 x14ac:dyDescent="0.3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 x14ac:dyDescent="0.3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x14ac:dyDescent="0.3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x14ac:dyDescent="0.3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x14ac:dyDescent="0.3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x14ac:dyDescent="0.3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x14ac:dyDescent="0.3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 x14ac:dyDescent="0.3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 x14ac:dyDescent="0.3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x14ac:dyDescent="0.3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 x14ac:dyDescent="0.3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 x14ac:dyDescent="0.3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 x14ac:dyDescent="0.3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x14ac:dyDescent="0.3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x14ac:dyDescent="0.3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 x14ac:dyDescent="0.3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 x14ac:dyDescent="0.3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 x14ac:dyDescent="0.3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 x14ac:dyDescent="0.3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 x14ac:dyDescent="0.3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 x14ac:dyDescent="0.3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 x14ac:dyDescent="0.3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 x14ac:dyDescent="0.3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x14ac:dyDescent="0.3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x14ac:dyDescent="0.3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x14ac:dyDescent="0.3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x14ac:dyDescent="0.3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x14ac:dyDescent="0.3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 x14ac:dyDescent="0.3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 x14ac:dyDescent="0.3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 x14ac:dyDescent="0.3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x14ac:dyDescent="0.3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 x14ac:dyDescent="0.3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3">
      <c r="A73" s="1" t="s">
        <v>89</v>
      </c>
      <c r="B73" s="1" t="s">
        <v>138</v>
      </c>
      <c r="D73" s="1" t="s">
        <v>228</v>
      </c>
    </row>
    <row r="74" spans="1:7" x14ac:dyDescent="0.3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 x14ac:dyDescent="0.3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 x14ac:dyDescent="0.3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 x14ac:dyDescent="0.3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 x14ac:dyDescent="0.3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 x14ac:dyDescent="0.3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x14ac:dyDescent="0.3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 x14ac:dyDescent="0.3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 x14ac:dyDescent="0.3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 x14ac:dyDescent="0.3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 x14ac:dyDescent="0.3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 x14ac:dyDescent="0.3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 x14ac:dyDescent="0.3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x14ac:dyDescent="0.3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x14ac:dyDescent="0.3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 x14ac:dyDescent="0.3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 x14ac:dyDescent="0.3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 x14ac:dyDescent="0.3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x14ac:dyDescent="0.3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 x14ac:dyDescent="0.3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 x14ac:dyDescent="0.3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 x14ac:dyDescent="0.3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 x14ac:dyDescent="0.3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x14ac:dyDescent="0.3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 x14ac:dyDescent="0.3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 x14ac:dyDescent="0.3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 x14ac:dyDescent="0.3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 x14ac:dyDescent="0.3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 x14ac:dyDescent="0.3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 x14ac:dyDescent="0.3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 x14ac:dyDescent="0.3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 x14ac:dyDescent="0.3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x14ac:dyDescent="0.3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x14ac:dyDescent="0.3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x14ac:dyDescent="0.3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 x14ac:dyDescent="0.3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 x14ac:dyDescent="0.3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 x14ac:dyDescent="0.3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x14ac:dyDescent="0.3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x14ac:dyDescent="0.3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x14ac:dyDescent="0.3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 x14ac:dyDescent="0.3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 x14ac:dyDescent="0.3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 x14ac:dyDescent="0.3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 x14ac:dyDescent="0.3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x14ac:dyDescent="0.3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 x14ac:dyDescent="0.3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 x14ac:dyDescent="0.3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 x14ac:dyDescent="0.3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x14ac:dyDescent="0.3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x14ac:dyDescent="0.3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 x14ac:dyDescent="0.3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x14ac:dyDescent="0.3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x14ac:dyDescent="0.3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x14ac:dyDescent="0.3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 x14ac:dyDescent="0.3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x14ac:dyDescent="0.3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 x14ac:dyDescent="0.3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 x14ac:dyDescent="0.3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 x14ac:dyDescent="0.3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 x14ac:dyDescent="0.3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x14ac:dyDescent="0.3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x14ac:dyDescent="0.3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 x14ac:dyDescent="0.3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x14ac:dyDescent="0.3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 x14ac:dyDescent="0.3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x14ac:dyDescent="0.3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 x14ac:dyDescent="0.3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x14ac:dyDescent="0.3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 x14ac:dyDescent="0.3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 x14ac:dyDescent="0.3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 x14ac:dyDescent="0.3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x14ac:dyDescent="0.3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 x14ac:dyDescent="0.3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 x14ac:dyDescent="0.3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x14ac:dyDescent="0.3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x14ac:dyDescent="0.3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 x14ac:dyDescent="0.3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 x14ac:dyDescent="0.3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x14ac:dyDescent="0.3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x14ac:dyDescent="0.3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 x14ac:dyDescent="0.3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 x14ac:dyDescent="0.3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 x14ac:dyDescent="0.3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x14ac:dyDescent="0.3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x14ac:dyDescent="0.3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x14ac:dyDescent="0.3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x14ac:dyDescent="0.3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x14ac:dyDescent="0.3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 x14ac:dyDescent="0.3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x14ac:dyDescent="0.3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x14ac:dyDescent="0.3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 x14ac:dyDescent="0.3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x14ac:dyDescent="0.3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 x14ac:dyDescent="0.3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x14ac:dyDescent="0.3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 x14ac:dyDescent="0.3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x14ac:dyDescent="0.3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 x14ac:dyDescent="0.3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x14ac:dyDescent="0.3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x14ac:dyDescent="0.3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 x14ac:dyDescent="0.3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x14ac:dyDescent="0.3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x14ac:dyDescent="0.3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x14ac:dyDescent="0.3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 x14ac:dyDescent="0.3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 x14ac:dyDescent="0.3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 x14ac:dyDescent="0.3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x14ac:dyDescent="0.3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 x14ac:dyDescent="0.3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x14ac:dyDescent="0.3">
      <c r="A184" s="1" t="s">
        <v>89</v>
      </c>
      <c r="B184" s="1" t="s">
        <v>138</v>
      </c>
      <c r="D184" s="1" t="s">
        <v>580</v>
      </c>
    </row>
    <row r="185" spans="1:7" x14ac:dyDescent="0.3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x14ac:dyDescent="0.3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 x14ac:dyDescent="0.3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 x14ac:dyDescent="0.3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 x14ac:dyDescent="0.3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x14ac:dyDescent="0.3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x14ac:dyDescent="0.3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 x14ac:dyDescent="0.3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x14ac:dyDescent="0.3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 x14ac:dyDescent="0.3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x14ac:dyDescent="0.3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 x14ac:dyDescent="0.3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x14ac:dyDescent="0.3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 x14ac:dyDescent="0.3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 x14ac:dyDescent="0.3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x14ac:dyDescent="0.3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 x14ac:dyDescent="0.3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 x14ac:dyDescent="0.3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 x14ac:dyDescent="0.3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 x14ac:dyDescent="0.3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 x14ac:dyDescent="0.3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 x14ac:dyDescent="0.3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 x14ac:dyDescent="0.3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 x14ac:dyDescent="0.3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x14ac:dyDescent="0.3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 x14ac:dyDescent="0.3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 x14ac:dyDescent="0.3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 x14ac:dyDescent="0.3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 x14ac:dyDescent="0.3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 x14ac:dyDescent="0.3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 x14ac:dyDescent="0.3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 x14ac:dyDescent="0.3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 x14ac:dyDescent="0.3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 x14ac:dyDescent="0.3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 x14ac:dyDescent="0.3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 x14ac:dyDescent="0.3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 x14ac:dyDescent="0.3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 x14ac:dyDescent="0.3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 x14ac:dyDescent="0.3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x14ac:dyDescent="0.3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x14ac:dyDescent="0.3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 x14ac:dyDescent="0.3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 x14ac:dyDescent="0.3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 x14ac:dyDescent="0.3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 x14ac:dyDescent="0.3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 x14ac:dyDescent="0.3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 x14ac:dyDescent="0.3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 x14ac:dyDescent="0.3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 x14ac:dyDescent="0.3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 x14ac:dyDescent="0.3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 x14ac:dyDescent="0.3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 x14ac:dyDescent="0.3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 x14ac:dyDescent="0.3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x14ac:dyDescent="0.3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 x14ac:dyDescent="0.3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 x14ac:dyDescent="0.3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 x14ac:dyDescent="0.3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 x14ac:dyDescent="0.3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 x14ac:dyDescent="0.3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 x14ac:dyDescent="0.3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 x14ac:dyDescent="0.3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x14ac:dyDescent="0.3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 x14ac:dyDescent="0.3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x14ac:dyDescent="0.3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x14ac:dyDescent="0.3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x14ac:dyDescent="0.3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 x14ac:dyDescent="0.3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 x14ac:dyDescent="0.3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 x14ac:dyDescent="0.3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 x14ac:dyDescent="0.3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 x14ac:dyDescent="0.3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 x14ac:dyDescent="0.3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 x14ac:dyDescent="0.3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 x14ac:dyDescent="0.3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 x14ac:dyDescent="0.3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 x14ac:dyDescent="0.3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 x14ac:dyDescent="0.3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 x14ac:dyDescent="0.3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 x14ac:dyDescent="0.3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 x14ac:dyDescent="0.3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 x14ac:dyDescent="0.3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 x14ac:dyDescent="0.3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 x14ac:dyDescent="0.3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 x14ac:dyDescent="0.3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 x14ac:dyDescent="0.3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 x14ac:dyDescent="0.3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 x14ac:dyDescent="0.3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 x14ac:dyDescent="0.3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 x14ac:dyDescent="0.3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 x14ac:dyDescent="0.3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x14ac:dyDescent="0.3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 x14ac:dyDescent="0.3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 x14ac:dyDescent="0.3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 x14ac:dyDescent="0.3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 x14ac:dyDescent="0.3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 x14ac:dyDescent="0.3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 x14ac:dyDescent="0.3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 x14ac:dyDescent="0.3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 x14ac:dyDescent="0.3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 x14ac:dyDescent="0.3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 x14ac:dyDescent="0.3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 x14ac:dyDescent="0.3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x14ac:dyDescent="0.3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 x14ac:dyDescent="0.3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 x14ac:dyDescent="0.3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 x14ac:dyDescent="0.3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 x14ac:dyDescent="0.3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x14ac:dyDescent="0.3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x14ac:dyDescent="0.3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x14ac:dyDescent="0.3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 x14ac:dyDescent="0.3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x14ac:dyDescent="0.3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x14ac:dyDescent="0.3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x14ac:dyDescent="0.3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x14ac:dyDescent="0.3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 x14ac:dyDescent="0.3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 x14ac:dyDescent="0.3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 x14ac:dyDescent="0.3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 x14ac:dyDescent="0.3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 x14ac:dyDescent="0.3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x14ac:dyDescent="0.3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 x14ac:dyDescent="0.3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 x14ac:dyDescent="0.3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 x14ac:dyDescent="0.3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 x14ac:dyDescent="0.3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 x14ac:dyDescent="0.3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 x14ac:dyDescent="0.3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x14ac:dyDescent="0.3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 x14ac:dyDescent="0.3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 x14ac:dyDescent="0.3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 x14ac:dyDescent="0.3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 x14ac:dyDescent="0.3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 x14ac:dyDescent="0.3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x14ac:dyDescent="0.3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 x14ac:dyDescent="0.3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 x14ac:dyDescent="0.3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 x14ac:dyDescent="0.3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 x14ac:dyDescent="0.3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 x14ac:dyDescent="0.3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 x14ac:dyDescent="0.3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 x14ac:dyDescent="0.3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 x14ac:dyDescent="0.3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 x14ac:dyDescent="0.3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 x14ac:dyDescent="0.3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x14ac:dyDescent="0.3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x14ac:dyDescent="0.3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 x14ac:dyDescent="0.3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 x14ac:dyDescent="0.3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 x14ac:dyDescent="0.3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 x14ac:dyDescent="0.3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 x14ac:dyDescent="0.3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 x14ac:dyDescent="0.3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 x14ac:dyDescent="0.3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 x14ac:dyDescent="0.3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 x14ac:dyDescent="0.3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 x14ac:dyDescent="0.3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 x14ac:dyDescent="0.3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 x14ac:dyDescent="0.3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 x14ac:dyDescent="0.3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 x14ac:dyDescent="0.3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x14ac:dyDescent="0.3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 x14ac:dyDescent="0.3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 x14ac:dyDescent="0.3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 x14ac:dyDescent="0.3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 x14ac:dyDescent="0.3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 x14ac:dyDescent="0.3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 x14ac:dyDescent="0.3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x14ac:dyDescent="0.3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x14ac:dyDescent="0.3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x14ac:dyDescent="0.3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x14ac:dyDescent="0.3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x14ac:dyDescent="0.3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x14ac:dyDescent="0.3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x14ac:dyDescent="0.3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x14ac:dyDescent="0.3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x14ac:dyDescent="0.3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x14ac:dyDescent="0.3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x14ac:dyDescent="0.3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x14ac:dyDescent="0.3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x14ac:dyDescent="0.3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x14ac:dyDescent="0.3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x14ac:dyDescent="0.3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 x14ac:dyDescent="0.3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x14ac:dyDescent="0.3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x14ac:dyDescent="0.3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x14ac:dyDescent="0.3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x14ac:dyDescent="0.3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x14ac:dyDescent="0.3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x14ac:dyDescent="0.3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x14ac:dyDescent="0.3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x14ac:dyDescent="0.3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x14ac:dyDescent="0.3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x14ac:dyDescent="0.3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x14ac:dyDescent="0.3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x14ac:dyDescent="0.3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 x14ac:dyDescent="0.3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 x14ac:dyDescent="0.3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 x14ac:dyDescent="0.3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 x14ac:dyDescent="0.3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 x14ac:dyDescent="0.3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x14ac:dyDescent="0.3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x14ac:dyDescent="0.3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 x14ac:dyDescent="0.3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 x14ac:dyDescent="0.3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x14ac:dyDescent="0.3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 x14ac:dyDescent="0.3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 x14ac:dyDescent="0.3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x14ac:dyDescent="0.3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x14ac:dyDescent="0.3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 x14ac:dyDescent="0.3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 x14ac:dyDescent="0.3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 x14ac:dyDescent="0.3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 x14ac:dyDescent="0.3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x14ac:dyDescent="0.3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x14ac:dyDescent="0.3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 x14ac:dyDescent="0.3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x14ac:dyDescent="0.3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x14ac:dyDescent="0.3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x14ac:dyDescent="0.3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 x14ac:dyDescent="0.3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x14ac:dyDescent="0.3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x14ac:dyDescent="0.3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x14ac:dyDescent="0.3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 x14ac:dyDescent="0.3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x14ac:dyDescent="0.3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 x14ac:dyDescent="0.3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 x14ac:dyDescent="0.3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 x14ac:dyDescent="0.3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x14ac:dyDescent="0.3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x14ac:dyDescent="0.3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x14ac:dyDescent="0.3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 x14ac:dyDescent="0.3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 x14ac:dyDescent="0.3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 x14ac:dyDescent="0.3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x14ac:dyDescent="0.3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 x14ac:dyDescent="0.3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 x14ac:dyDescent="0.3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x14ac:dyDescent="0.3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 x14ac:dyDescent="0.3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 x14ac:dyDescent="0.3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x14ac:dyDescent="0.3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x14ac:dyDescent="0.3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x14ac:dyDescent="0.3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x14ac:dyDescent="0.3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 x14ac:dyDescent="0.3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 x14ac:dyDescent="0.3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 x14ac:dyDescent="0.3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 x14ac:dyDescent="0.3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 x14ac:dyDescent="0.3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 x14ac:dyDescent="0.3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 x14ac:dyDescent="0.3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 x14ac:dyDescent="0.3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 x14ac:dyDescent="0.3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 x14ac:dyDescent="0.3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x14ac:dyDescent="0.3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 x14ac:dyDescent="0.3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 x14ac:dyDescent="0.3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 x14ac:dyDescent="0.3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x14ac:dyDescent="0.3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x14ac:dyDescent="0.3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 x14ac:dyDescent="0.3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x14ac:dyDescent="0.3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x14ac:dyDescent="0.3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x14ac:dyDescent="0.3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 x14ac:dyDescent="0.3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 x14ac:dyDescent="0.3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 x14ac:dyDescent="0.3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 x14ac:dyDescent="0.3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 x14ac:dyDescent="0.3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 x14ac:dyDescent="0.3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 x14ac:dyDescent="0.3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x14ac:dyDescent="0.3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 x14ac:dyDescent="0.3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 x14ac:dyDescent="0.3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 x14ac:dyDescent="0.3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 x14ac:dyDescent="0.3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 x14ac:dyDescent="0.3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x14ac:dyDescent="0.3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 x14ac:dyDescent="0.3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 x14ac:dyDescent="0.3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 x14ac:dyDescent="0.3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 x14ac:dyDescent="0.3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 x14ac:dyDescent="0.3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 x14ac:dyDescent="0.3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 x14ac:dyDescent="0.3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 x14ac:dyDescent="0.3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 x14ac:dyDescent="0.3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 x14ac:dyDescent="0.3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 x14ac:dyDescent="0.3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 x14ac:dyDescent="0.3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 x14ac:dyDescent="0.3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 x14ac:dyDescent="0.3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 x14ac:dyDescent="0.3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 x14ac:dyDescent="0.3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 x14ac:dyDescent="0.3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 x14ac:dyDescent="0.3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 x14ac:dyDescent="0.3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 x14ac:dyDescent="0.3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 x14ac:dyDescent="0.3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 x14ac:dyDescent="0.3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 x14ac:dyDescent="0.3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 x14ac:dyDescent="0.3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 x14ac:dyDescent="0.3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 x14ac:dyDescent="0.3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 x14ac:dyDescent="0.3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 x14ac:dyDescent="0.3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 x14ac:dyDescent="0.3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 x14ac:dyDescent="0.3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 x14ac:dyDescent="0.3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 x14ac:dyDescent="0.3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 x14ac:dyDescent="0.3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 x14ac:dyDescent="0.3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 x14ac:dyDescent="0.3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 x14ac:dyDescent="0.3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 x14ac:dyDescent="0.3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 x14ac:dyDescent="0.3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 x14ac:dyDescent="0.3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 x14ac:dyDescent="0.3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 x14ac:dyDescent="0.3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 x14ac:dyDescent="0.3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 x14ac:dyDescent="0.3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 x14ac:dyDescent="0.3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 x14ac:dyDescent="0.3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 x14ac:dyDescent="0.3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 x14ac:dyDescent="0.3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 x14ac:dyDescent="0.3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x14ac:dyDescent="0.3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 x14ac:dyDescent="0.3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 x14ac:dyDescent="0.3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 x14ac:dyDescent="0.3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 x14ac:dyDescent="0.3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 x14ac:dyDescent="0.3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 x14ac:dyDescent="0.3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 x14ac:dyDescent="0.3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 x14ac:dyDescent="0.3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 x14ac:dyDescent="0.3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 x14ac:dyDescent="0.3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 x14ac:dyDescent="0.3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 x14ac:dyDescent="0.3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 x14ac:dyDescent="0.3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 x14ac:dyDescent="0.3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 x14ac:dyDescent="0.3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 x14ac:dyDescent="0.3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 x14ac:dyDescent="0.3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 x14ac:dyDescent="0.3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x14ac:dyDescent="0.3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 x14ac:dyDescent="0.3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 x14ac:dyDescent="0.3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 x14ac:dyDescent="0.3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 x14ac:dyDescent="0.3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 x14ac:dyDescent="0.3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 x14ac:dyDescent="0.3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x14ac:dyDescent="0.3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x14ac:dyDescent="0.3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x14ac:dyDescent="0.3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x14ac:dyDescent="0.3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x14ac:dyDescent="0.3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 x14ac:dyDescent="0.3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 x14ac:dyDescent="0.3">
      <c r="A543" s="1" t="s">
        <v>89</v>
      </c>
      <c r="B543" s="1" t="s">
        <v>138</v>
      </c>
      <c r="D543" s="1" t="s">
        <v>1654</v>
      </c>
    </row>
    <row r="544" spans="1:7" x14ac:dyDescent="0.3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 x14ac:dyDescent="0.3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 x14ac:dyDescent="0.3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x14ac:dyDescent="0.3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x14ac:dyDescent="0.3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 x14ac:dyDescent="0.3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 x14ac:dyDescent="0.3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 x14ac:dyDescent="0.3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 x14ac:dyDescent="0.3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 x14ac:dyDescent="0.3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 x14ac:dyDescent="0.3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 x14ac:dyDescent="0.3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 x14ac:dyDescent="0.3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x14ac:dyDescent="0.3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x14ac:dyDescent="0.3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x14ac:dyDescent="0.3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x14ac:dyDescent="0.3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 x14ac:dyDescent="0.3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x14ac:dyDescent="0.3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x14ac:dyDescent="0.3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x14ac:dyDescent="0.3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x14ac:dyDescent="0.3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 x14ac:dyDescent="0.3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 x14ac:dyDescent="0.3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 x14ac:dyDescent="0.3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 x14ac:dyDescent="0.3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 x14ac:dyDescent="0.3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 x14ac:dyDescent="0.3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x14ac:dyDescent="0.3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x14ac:dyDescent="0.3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 x14ac:dyDescent="0.3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 x14ac:dyDescent="0.3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 x14ac:dyDescent="0.3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 x14ac:dyDescent="0.3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 x14ac:dyDescent="0.3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 x14ac:dyDescent="0.3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 x14ac:dyDescent="0.3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 x14ac:dyDescent="0.3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x14ac:dyDescent="0.3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 x14ac:dyDescent="0.3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 x14ac:dyDescent="0.3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x14ac:dyDescent="0.3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x14ac:dyDescent="0.3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x14ac:dyDescent="0.3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x14ac:dyDescent="0.3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x14ac:dyDescent="0.3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 x14ac:dyDescent="0.3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 x14ac:dyDescent="0.3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x14ac:dyDescent="0.3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 x14ac:dyDescent="0.3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 x14ac:dyDescent="0.3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 x14ac:dyDescent="0.3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x14ac:dyDescent="0.3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 x14ac:dyDescent="0.3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 x14ac:dyDescent="0.3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x14ac:dyDescent="0.3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 x14ac:dyDescent="0.3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x14ac:dyDescent="0.3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x14ac:dyDescent="0.3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x14ac:dyDescent="0.3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 x14ac:dyDescent="0.3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 x14ac:dyDescent="0.3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 x14ac:dyDescent="0.3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 x14ac:dyDescent="0.3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 x14ac:dyDescent="0.3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 x14ac:dyDescent="0.3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 x14ac:dyDescent="0.3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 x14ac:dyDescent="0.3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x14ac:dyDescent="0.3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x14ac:dyDescent="0.3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 x14ac:dyDescent="0.3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 x14ac:dyDescent="0.3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 x14ac:dyDescent="0.3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 x14ac:dyDescent="0.3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 x14ac:dyDescent="0.3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 x14ac:dyDescent="0.3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 x14ac:dyDescent="0.3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 x14ac:dyDescent="0.3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x14ac:dyDescent="0.3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 x14ac:dyDescent="0.3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 x14ac:dyDescent="0.3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x14ac:dyDescent="0.3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x14ac:dyDescent="0.3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 x14ac:dyDescent="0.3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x14ac:dyDescent="0.3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x14ac:dyDescent="0.3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x14ac:dyDescent="0.3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 x14ac:dyDescent="0.3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x14ac:dyDescent="0.3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x14ac:dyDescent="0.3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 x14ac:dyDescent="0.3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 x14ac:dyDescent="0.3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 x14ac:dyDescent="0.3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 x14ac:dyDescent="0.3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 x14ac:dyDescent="0.3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 x14ac:dyDescent="0.3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 x14ac:dyDescent="0.3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 x14ac:dyDescent="0.3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 x14ac:dyDescent="0.3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 x14ac:dyDescent="0.3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 x14ac:dyDescent="0.3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 x14ac:dyDescent="0.3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 x14ac:dyDescent="0.3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 x14ac:dyDescent="0.3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 x14ac:dyDescent="0.3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 x14ac:dyDescent="0.3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 x14ac:dyDescent="0.3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 x14ac:dyDescent="0.3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 x14ac:dyDescent="0.3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 x14ac:dyDescent="0.3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 x14ac:dyDescent="0.3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 x14ac:dyDescent="0.3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 x14ac:dyDescent="0.3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 x14ac:dyDescent="0.3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 x14ac:dyDescent="0.3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 x14ac:dyDescent="0.3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 x14ac:dyDescent="0.3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 x14ac:dyDescent="0.3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 x14ac:dyDescent="0.3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 x14ac:dyDescent="0.3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 x14ac:dyDescent="0.3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 x14ac:dyDescent="0.3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 x14ac:dyDescent="0.3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 x14ac:dyDescent="0.3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 x14ac:dyDescent="0.3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 x14ac:dyDescent="0.3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 x14ac:dyDescent="0.3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x14ac:dyDescent="0.3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x14ac:dyDescent="0.3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x14ac:dyDescent="0.3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x14ac:dyDescent="0.3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x14ac:dyDescent="0.3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x14ac:dyDescent="0.3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x14ac:dyDescent="0.3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x14ac:dyDescent="0.3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x14ac:dyDescent="0.3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x14ac:dyDescent="0.3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x14ac:dyDescent="0.3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x14ac:dyDescent="0.3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x14ac:dyDescent="0.3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x14ac:dyDescent="0.3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 x14ac:dyDescent="0.3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 x14ac:dyDescent="0.3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x14ac:dyDescent="0.3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x14ac:dyDescent="0.3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x14ac:dyDescent="0.3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x14ac:dyDescent="0.3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x14ac:dyDescent="0.3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x14ac:dyDescent="0.3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x14ac:dyDescent="0.3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x14ac:dyDescent="0.3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x14ac:dyDescent="0.3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x14ac:dyDescent="0.3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x14ac:dyDescent="0.3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x14ac:dyDescent="0.3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 x14ac:dyDescent="0.3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x14ac:dyDescent="0.3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x14ac:dyDescent="0.3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x14ac:dyDescent="0.3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x14ac:dyDescent="0.3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x14ac:dyDescent="0.3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x14ac:dyDescent="0.3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x14ac:dyDescent="0.3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x14ac:dyDescent="0.3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x14ac:dyDescent="0.3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x14ac:dyDescent="0.3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x14ac:dyDescent="0.3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x14ac:dyDescent="0.3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x14ac:dyDescent="0.3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x14ac:dyDescent="0.3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x14ac:dyDescent="0.3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x14ac:dyDescent="0.3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x14ac:dyDescent="0.3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x14ac:dyDescent="0.3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 x14ac:dyDescent="0.3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x14ac:dyDescent="0.3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x14ac:dyDescent="0.3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x14ac:dyDescent="0.3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x14ac:dyDescent="0.3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x14ac:dyDescent="0.3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x14ac:dyDescent="0.3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x14ac:dyDescent="0.3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x14ac:dyDescent="0.3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x14ac:dyDescent="0.3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x14ac:dyDescent="0.3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x14ac:dyDescent="0.3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x14ac:dyDescent="0.3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x14ac:dyDescent="0.3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x14ac:dyDescent="0.3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x14ac:dyDescent="0.3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x14ac:dyDescent="0.3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x14ac:dyDescent="0.3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x14ac:dyDescent="0.3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x14ac:dyDescent="0.3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x14ac:dyDescent="0.3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x14ac:dyDescent="0.3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x14ac:dyDescent="0.3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 x14ac:dyDescent="0.3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x14ac:dyDescent="0.3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x14ac:dyDescent="0.3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x14ac:dyDescent="0.3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 x14ac:dyDescent="0.3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x14ac:dyDescent="0.3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x14ac:dyDescent="0.3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 x14ac:dyDescent="0.3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x14ac:dyDescent="0.3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 x14ac:dyDescent="0.3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x14ac:dyDescent="0.3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 x14ac:dyDescent="0.3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x14ac:dyDescent="0.3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 x14ac:dyDescent="0.3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 x14ac:dyDescent="0.3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 x14ac:dyDescent="0.3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 x14ac:dyDescent="0.3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 x14ac:dyDescent="0.3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 x14ac:dyDescent="0.3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x14ac:dyDescent="0.3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 x14ac:dyDescent="0.3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 x14ac:dyDescent="0.3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 x14ac:dyDescent="0.3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 x14ac:dyDescent="0.3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 x14ac:dyDescent="0.3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 x14ac:dyDescent="0.3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 x14ac:dyDescent="0.3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x14ac:dyDescent="0.3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x14ac:dyDescent="0.3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x14ac:dyDescent="0.3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x14ac:dyDescent="0.3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 x14ac:dyDescent="0.3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 x14ac:dyDescent="0.3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 x14ac:dyDescent="0.3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 x14ac:dyDescent="0.3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 x14ac:dyDescent="0.3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 x14ac:dyDescent="0.3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x14ac:dyDescent="0.3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 x14ac:dyDescent="0.3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 x14ac:dyDescent="0.3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 x14ac:dyDescent="0.3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 x14ac:dyDescent="0.3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 x14ac:dyDescent="0.3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 x14ac:dyDescent="0.3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 x14ac:dyDescent="0.3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 x14ac:dyDescent="0.3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 x14ac:dyDescent="0.3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 x14ac:dyDescent="0.3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 x14ac:dyDescent="0.3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 x14ac:dyDescent="0.3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 x14ac:dyDescent="0.3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x14ac:dyDescent="0.3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 x14ac:dyDescent="0.3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x14ac:dyDescent="0.3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 x14ac:dyDescent="0.3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x14ac:dyDescent="0.3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x14ac:dyDescent="0.3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x14ac:dyDescent="0.3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 x14ac:dyDescent="0.3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 x14ac:dyDescent="0.3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 x14ac:dyDescent="0.3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 x14ac:dyDescent="0.3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 x14ac:dyDescent="0.3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 x14ac:dyDescent="0.3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 x14ac:dyDescent="0.3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 x14ac:dyDescent="0.3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 x14ac:dyDescent="0.3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 x14ac:dyDescent="0.3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 x14ac:dyDescent="0.3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 x14ac:dyDescent="0.3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 x14ac:dyDescent="0.3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 x14ac:dyDescent="0.3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 x14ac:dyDescent="0.3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x14ac:dyDescent="0.3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x14ac:dyDescent="0.3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x14ac:dyDescent="0.3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 x14ac:dyDescent="0.3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 x14ac:dyDescent="0.3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 x14ac:dyDescent="0.3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 x14ac:dyDescent="0.3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 x14ac:dyDescent="0.3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x14ac:dyDescent="0.3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 x14ac:dyDescent="0.3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x14ac:dyDescent="0.3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x14ac:dyDescent="0.3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 x14ac:dyDescent="0.3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 x14ac:dyDescent="0.3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x14ac:dyDescent="0.3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x14ac:dyDescent="0.3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 x14ac:dyDescent="0.3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x14ac:dyDescent="0.3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 x14ac:dyDescent="0.3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x14ac:dyDescent="0.3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 x14ac:dyDescent="0.3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 x14ac:dyDescent="0.3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x14ac:dyDescent="0.3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 x14ac:dyDescent="0.3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x14ac:dyDescent="0.3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x14ac:dyDescent="0.3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x14ac:dyDescent="0.3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 x14ac:dyDescent="0.3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x14ac:dyDescent="0.3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 x14ac:dyDescent="0.3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 x14ac:dyDescent="0.3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 x14ac:dyDescent="0.3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 x14ac:dyDescent="0.3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x14ac:dyDescent="0.3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x14ac:dyDescent="0.3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x14ac:dyDescent="0.3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x14ac:dyDescent="0.3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 x14ac:dyDescent="0.3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 x14ac:dyDescent="0.3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 x14ac:dyDescent="0.3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x14ac:dyDescent="0.3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 x14ac:dyDescent="0.3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x14ac:dyDescent="0.3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 x14ac:dyDescent="0.3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 x14ac:dyDescent="0.3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x14ac:dyDescent="0.3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 x14ac:dyDescent="0.3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x14ac:dyDescent="0.3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 x14ac:dyDescent="0.3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 x14ac:dyDescent="0.3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 x14ac:dyDescent="0.3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 x14ac:dyDescent="0.3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 x14ac:dyDescent="0.3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 x14ac:dyDescent="0.3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 x14ac:dyDescent="0.3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 x14ac:dyDescent="0.3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x14ac:dyDescent="0.3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 x14ac:dyDescent="0.3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x14ac:dyDescent="0.3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 x14ac:dyDescent="0.3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 x14ac:dyDescent="0.3">
      <c r="A874" s="1" t="s">
        <v>89</v>
      </c>
      <c r="B874" s="1" t="s">
        <v>138</v>
      </c>
      <c r="D874" s="1" t="s">
        <v>2730</v>
      </c>
    </row>
    <row r="875" spans="1:7" x14ac:dyDescent="0.3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x14ac:dyDescent="0.3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x14ac:dyDescent="0.3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 x14ac:dyDescent="0.3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 x14ac:dyDescent="0.3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 x14ac:dyDescent="0.3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 x14ac:dyDescent="0.3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 x14ac:dyDescent="0.3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 x14ac:dyDescent="0.3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 x14ac:dyDescent="0.3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 x14ac:dyDescent="0.3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 x14ac:dyDescent="0.3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 x14ac:dyDescent="0.3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 x14ac:dyDescent="0.3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 x14ac:dyDescent="0.3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 x14ac:dyDescent="0.3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 x14ac:dyDescent="0.3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 x14ac:dyDescent="0.3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x14ac:dyDescent="0.3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 x14ac:dyDescent="0.3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 x14ac:dyDescent="0.3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 x14ac:dyDescent="0.3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 x14ac:dyDescent="0.3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x14ac:dyDescent="0.3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 x14ac:dyDescent="0.3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 x14ac:dyDescent="0.3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 x14ac:dyDescent="0.3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x14ac:dyDescent="0.3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 x14ac:dyDescent="0.3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x14ac:dyDescent="0.3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x14ac:dyDescent="0.3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x14ac:dyDescent="0.3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 x14ac:dyDescent="0.3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 x14ac:dyDescent="0.3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 x14ac:dyDescent="0.3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 x14ac:dyDescent="0.3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 x14ac:dyDescent="0.3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 x14ac:dyDescent="0.3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 x14ac:dyDescent="0.3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 x14ac:dyDescent="0.3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 x14ac:dyDescent="0.3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 x14ac:dyDescent="0.3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 x14ac:dyDescent="0.3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x14ac:dyDescent="0.3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x14ac:dyDescent="0.3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 x14ac:dyDescent="0.3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 x14ac:dyDescent="0.3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 x14ac:dyDescent="0.3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 x14ac:dyDescent="0.3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 x14ac:dyDescent="0.3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 x14ac:dyDescent="0.3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 x14ac:dyDescent="0.3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 x14ac:dyDescent="0.3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 x14ac:dyDescent="0.3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 x14ac:dyDescent="0.3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 x14ac:dyDescent="0.3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x14ac:dyDescent="0.3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x14ac:dyDescent="0.3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x14ac:dyDescent="0.3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x14ac:dyDescent="0.3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x14ac:dyDescent="0.3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x14ac:dyDescent="0.3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x14ac:dyDescent="0.3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x14ac:dyDescent="0.3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x14ac:dyDescent="0.3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x14ac:dyDescent="0.3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x14ac:dyDescent="0.3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x14ac:dyDescent="0.3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 x14ac:dyDescent="0.3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 x14ac:dyDescent="0.3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 x14ac:dyDescent="0.3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 x14ac:dyDescent="0.3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 x14ac:dyDescent="0.3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 x14ac:dyDescent="0.3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 x14ac:dyDescent="0.3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 x14ac:dyDescent="0.3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 x14ac:dyDescent="0.3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x14ac:dyDescent="0.3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 x14ac:dyDescent="0.3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 x14ac:dyDescent="0.3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 x14ac:dyDescent="0.3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 x14ac:dyDescent="0.3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 x14ac:dyDescent="0.3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 x14ac:dyDescent="0.3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 x14ac:dyDescent="0.3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 x14ac:dyDescent="0.3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 x14ac:dyDescent="0.3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 x14ac:dyDescent="0.3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 x14ac:dyDescent="0.3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x14ac:dyDescent="0.3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 x14ac:dyDescent="0.3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 x14ac:dyDescent="0.3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x14ac:dyDescent="0.3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 x14ac:dyDescent="0.3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 x14ac:dyDescent="0.3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 x14ac:dyDescent="0.3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 x14ac:dyDescent="0.3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 x14ac:dyDescent="0.3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 x14ac:dyDescent="0.3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 x14ac:dyDescent="0.3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x14ac:dyDescent="0.3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 x14ac:dyDescent="0.3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x14ac:dyDescent="0.3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 x14ac:dyDescent="0.3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x14ac:dyDescent="0.3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 x14ac:dyDescent="0.3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 x14ac:dyDescent="0.3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 x14ac:dyDescent="0.3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 x14ac:dyDescent="0.3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 x14ac:dyDescent="0.3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 x14ac:dyDescent="0.3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 x14ac:dyDescent="0.3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x14ac:dyDescent="0.3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 x14ac:dyDescent="0.3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 x14ac:dyDescent="0.3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x14ac:dyDescent="0.3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x14ac:dyDescent="0.3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x14ac:dyDescent="0.3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x14ac:dyDescent="0.3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x14ac:dyDescent="0.3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 x14ac:dyDescent="0.3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x14ac:dyDescent="0.3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x14ac:dyDescent="0.3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 x14ac:dyDescent="0.3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 x14ac:dyDescent="0.3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 x14ac:dyDescent="0.3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 x14ac:dyDescent="0.3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 x14ac:dyDescent="0.3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 x14ac:dyDescent="0.3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 x14ac:dyDescent="0.3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 x14ac:dyDescent="0.3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 x14ac:dyDescent="0.3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 x14ac:dyDescent="0.3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x14ac:dyDescent="0.3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x14ac:dyDescent="0.3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 x14ac:dyDescent="0.3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x14ac:dyDescent="0.3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x14ac:dyDescent="0.3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 x14ac:dyDescent="0.3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x14ac:dyDescent="0.3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 x14ac:dyDescent="0.3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 x14ac:dyDescent="0.3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 x14ac:dyDescent="0.3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x14ac:dyDescent="0.3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 x14ac:dyDescent="0.3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 x14ac:dyDescent="0.3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 x14ac:dyDescent="0.3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x14ac:dyDescent="0.3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x14ac:dyDescent="0.3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x14ac:dyDescent="0.3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x14ac:dyDescent="0.3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 x14ac:dyDescent="0.3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 x14ac:dyDescent="0.3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 x14ac:dyDescent="0.3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 x14ac:dyDescent="0.3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 x14ac:dyDescent="0.3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 x14ac:dyDescent="0.3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x14ac:dyDescent="0.3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 x14ac:dyDescent="0.3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x14ac:dyDescent="0.3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 x14ac:dyDescent="0.3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x14ac:dyDescent="0.3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x14ac:dyDescent="0.3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x14ac:dyDescent="0.3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 x14ac:dyDescent="0.3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 x14ac:dyDescent="0.3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 x14ac:dyDescent="0.3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x14ac:dyDescent="0.3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 x14ac:dyDescent="0.3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 x14ac:dyDescent="0.3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x14ac:dyDescent="0.3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 x14ac:dyDescent="0.3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x14ac:dyDescent="0.3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 x14ac:dyDescent="0.3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 x14ac:dyDescent="0.3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 x14ac:dyDescent="0.3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 x14ac:dyDescent="0.3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 x14ac:dyDescent="0.3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 x14ac:dyDescent="0.3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x14ac:dyDescent="0.3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x14ac:dyDescent="0.3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 x14ac:dyDescent="0.3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 x14ac:dyDescent="0.3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x14ac:dyDescent="0.3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 x14ac:dyDescent="0.3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 x14ac:dyDescent="0.3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 x14ac:dyDescent="0.3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 x14ac:dyDescent="0.3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 x14ac:dyDescent="0.3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 x14ac:dyDescent="0.3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x14ac:dyDescent="0.3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x14ac:dyDescent="0.3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x14ac:dyDescent="0.3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 x14ac:dyDescent="0.3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 x14ac:dyDescent="0.3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x14ac:dyDescent="0.3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x14ac:dyDescent="0.3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 x14ac:dyDescent="0.3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x14ac:dyDescent="0.3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x14ac:dyDescent="0.3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 x14ac:dyDescent="0.3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x14ac:dyDescent="0.3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x14ac:dyDescent="0.3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x14ac:dyDescent="0.3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x14ac:dyDescent="0.3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 x14ac:dyDescent="0.3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 x14ac:dyDescent="0.3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 x14ac:dyDescent="0.3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 x14ac:dyDescent="0.3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 x14ac:dyDescent="0.3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 x14ac:dyDescent="0.3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 x14ac:dyDescent="0.3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 x14ac:dyDescent="0.3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 x14ac:dyDescent="0.3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 x14ac:dyDescent="0.3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 x14ac:dyDescent="0.3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 x14ac:dyDescent="0.3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 x14ac:dyDescent="0.3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 x14ac:dyDescent="0.3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 x14ac:dyDescent="0.3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x14ac:dyDescent="0.3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 x14ac:dyDescent="0.3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 x14ac:dyDescent="0.3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x14ac:dyDescent="0.3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 x14ac:dyDescent="0.3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x14ac:dyDescent="0.3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 x14ac:dyDescent="0.3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 x14ac:dyDescent="0.3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 x14ac:dyDescent="0.3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x14ac:dyDescent="0.3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 x14ac:dyDescent="0.3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 x14ac:dyDescent="0.3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x14ac:dyDescent="0.3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 x14ac:dyDescent="0.3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 x14ac:dyDescent="0.3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 x14ac:dyDescent="0.3">
      <c r="A1110" s="1" t="s">
        <v>21</v>
      </c>
      <c r="B1110" s="1" t="s">
        <v>3514</v>
      </c>
      <c r="D1110" s="1" t="s">
        <v>2387</v>
      </c>
    </row>
    <row r="1111" spans="1:7" x14ac:dyDescent="0.3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x14ac:dyDescent="0.3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 x14ac:dyDescent="0.3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 x14ac:dyDescent="0.3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 x14ac:dyDescent="0.3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 x14ac:dyDescent="0.3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 x14ac:dyDescent="0.3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 x14ac:dyDescent="0.3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 x14ac:dyDescent="0.3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 x14ac:dyDescent="0.3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 x14ac:dyDescent="0.3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x14ac:dyDescent="0.3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x14ac:dyDescent="0.3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 x14ac:dyDescent="0.3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 x14ac:dyDescent="0.3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 x14ac:dyDescent="0.3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 x14ac:dyDescent="0.3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 x14ac:dyDescent="0.3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 x14ac:dyDescent="0.3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 x14ac:dyDescent="0.3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 x14ac:dyDescent="0.3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 x14ac:dyDescent="0.3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 x14ac:dyDescent="0.3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 x14ac:dyDescent="0.3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 x14ac:dyDescent="0.3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 x14ac:dyDescent="0.3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 x14ac:dyDescent="0.3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 x14ac:dyDescent="0.3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 x14ac:dyDescent="0.3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 x14ac:dyDescent="0.3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 x14ac:dyDescent="0.3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 x14ac:dyDescent="0.3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 x14ac:dyDescent="0.3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 x14ac:dyDescent="0.3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 x14ac:dyDescent="0.3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 x14ac:dyDescent="0.3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 x14ac:dyDescent="0.3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 x14ac:dyDescent="0.3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 x14ac:dyDescent="0.3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 x14ac:dyDescent="0.3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 x14ac:dyDescent="0.3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 x14ac:dyDescent="0.3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 x14ac:dyDescent="0.3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 x14ac:dyDescent="0.3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 x14ac:dyDescent="0.3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 x14ac:dyDescent="0.3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 x14ac:dyDescent="0.3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 x14ac:dyDescent="0.3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 x14ac:dyDescent="0.3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 x14ac:dyDescent="0.3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x14ac:dyDescent="0.3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x14ac:dyDescent="0.3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x14ac:dyDescent="0.3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x14ac:dyDescent="0.3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x14ac:dyDescent="0.3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 x14ac:dyDescent="0.3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x14ac:dyDescent="0.3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x14ac:dyDescent="0.3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x14ac:dyDescent="0.3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x14ac:dyDescent="0.3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x14ac:dyDescent="0.3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x14ac:dyDescent="0.3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x14ac:dyDescent="0.3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x14ac:dyDescent="0.3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x14ac:dyDescent="0.3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x14ac:dyDescent="0.3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x14ac:dyDescent="0.3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x14ac:dyDescent="0.3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x14ac:dyDescent="0.3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x14ac:dyDescent="0.3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 x14ac:dyDescent="0.3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x14ac:dyDescent="0.3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x14ac:dyDescent="0.3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x14ac:dyDescent="0.3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x14ac:dyDescent="0.3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x14ac:dyDescent="0.3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x14ac:dyDescent="0.3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x14ac:dyDescent="0.3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x14ac:dyDescent="0.3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x14ac:dyDescent="0.3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 x14ac:dyDescent="0.3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 x14ac:dyDescent="0.3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x14ac:dyDescent="0.3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x14ac:dyDescent="0.3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x14ac:dyDescent="0.3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x14ac:dyDescent="0.3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x14ac:dyDescent="0.3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x14ac:dyDescent="0.3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x14ac:dyDescent="0.3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x14ac:dyDescent="0.3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 x14ac:dyDescent="0.3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x14ac:dyDescent="0.3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 x14ac:dyDescent="0.3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x14ac:dyDescent="0.3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 x14ac:dyDescent="0.3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 x14ac:dyDescent="0.3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 x14ac:dyDescent="0.3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 x14ac:dyDescent="0.3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 x14ac:dyDescent="0.3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x14ac:dyDescent="0.3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x14ac:dyDescent="0.3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 x14ac:dyDescent="0.3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 x14ac:dyDescent="0.3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 x14ac:dyDescent="0.3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 x14ac:dyDescent="0.3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 x14ac:dyDescent="0.3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 x14ac:dyDescent="0.3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 x14ac:dyDescent="0.3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 x14ac:dyDescent="0.3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 x14ac:dyDescent="0.3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 x14ac:dyDescent="0.3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 x14ac:dyDescent="0.3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 x14ac:dyDescent="0.3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 x14ac:dyDescent="0.3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 x14ac:dyDescent="0.3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 x14ac:dyDescent="0.3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 x14ac:dyDescent="0.3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 x14ac:dyDescent="0.3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 x14ac:dyDescent="0.3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 x14ac:dyDescent="0.3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 x14ac:dyDescent="0.3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 x14ac:dyDescent="0.3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 x14ac:dyDescent="0.3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 x14ac:dyDescent="0.3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 x14ac:dyDescent="0.3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 x14ac:dyDescent="0.3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 x14ac:dyDescent="0.3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 x14ac:dyDescent="0.3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 x14ac:dyDescent="0.3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 x14ac:dyDescent="0.3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 x14ac:dyDescent="0.3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 x14ac:dyDescent="0.3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 x14ac:dyDescent="0.3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 x14ac:dyDescent="0.3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 x14ac:dyDescent="0.3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 x14ac:dyDescent="0.3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 x14ac:dyDescent="0.3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 x14ac:dyDescent="0.3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 x14ac:dyDescent="0.3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x14ac:dyDescent="0.3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 x14ac:dyDescent="0.3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 x14ac:dyDescent="0.3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 x14ac:dyDescent="0.3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 x14ac:dyDescent="0.3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 x14ac:dyDescent="0.3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 x14ac:dyDescent="0.3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 x14ac:dyDescent="0.3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x14ac:dyDescent="0.3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x14ac:dyDescent="0.3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x14ac:dyDescent="0.3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 x14ac:dyDescent="0.3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 x14ac:dyDescent="0.3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 x14ac:dyDescent="0.3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x14ac:dyDescent="0.3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x14ac:dyDescent="0.3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x14ac:dyDescent="0.3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 x14ac:dyDescent="0.3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 x14ac:dyDescent="0.3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 x14ac:dyDescent="0.3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 x14ac:dyDescent="0.3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 x14ac:dyDescent="0.3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 x14ac:dyDescent="0.3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 x14ac:dyDescent="0.3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x14ac:dyDescent="0.3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x14ac:dyDescent="0.3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x14ac:dyDescent="0.3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x14ac:dyDescent="0.3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 x14ac:dyDescent="0.3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 x14ac:dyDescent="0.3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 x14ac:dyDescent="0.3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 x14ac:dyDescent="0.3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 x14ac:dyDescent="0.3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 x14ac:dyDescent="0.3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x14ac:dyDescent="0.3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 x14ac:dyDescent="0.3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 x14ac:dyDescent="0.3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x14ac:dyDescent="0.3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x14ac:dyDescent="0.3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 x14ac:dyDescent="0.3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x14ac:dyDescent="0.3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 x14ac:dyDescent="0.3">
      <c r="A1291" s="1" t="s">
        <v>680</v>
      </c>
      <c r="B1291" s="1" t="s">
        <v>4034</v>
      </c>
      <c r="D1291" s="1" t="s">
        <v>2387</v>
      </c>
    </row>
    <row r="1292" spans="1:7" x14ac:dyDescent="0.3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x14ac:dyDescent="0.3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 x14ac:dyDescent="0.3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x14ac:dyDescent="0.3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 x14ac:dyDescent="0.3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x14ac:dyDescent="0.3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 x14ac:dyDescent="0.3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 x14ac:dyDescent="0.3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 x14ac:dyDescent="0.3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x14ac:dyDescent="0.3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x14ac:dyDescent="0.3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 x14ac:dyDescent="0.3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 x14ac:dyDescent="0.3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x14ac:dyDescent="0.3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 x14ac:dyDescent="0.3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x14ac:dyDescent="0.3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x14ac:dyDescent="0.3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x14ac:dyDescent="0.3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 x14ac:dyDescent="0.3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x14ac:dyDescent="0.3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x14ac:dyDescent="0.3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x14ac:dyDescent="0.3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x14ac:dyDescent="0.3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x14ac:dyDescent="0.3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 x14ac:dyDescent="0.3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x14ac:dyDescent="0.3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x14ac:dyDescent="0.3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 x14ac:dyDescent="0.3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x14ac:dyDescent="0.3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x14ac:dyDescent="0.3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 x14ac:dyDescent="0.3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x14ac:dyDescent="0.3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 x14ac:dyDescent="0.3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 x14ac:dyDescent="0.3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 x14ac:dyDescent="0.3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 x14ac:dyDescent="0.3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x14ac:dyDescent="0.3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 x14ac:dyDescent="0.3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 x14ac:dyDescent="0.3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 x14ac:dyDescent="0.3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x14ac:dyDescent="0.3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 x14ac:dyDescent="0.3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 x14ac:dyDescent="0.3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 x14ac:dyDescent="0.3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 x14ac:dyDescent="0.3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x14ac:dyDescent="0.3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x14ac:dyDescent="0.3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x14ac:dyDescent="0.3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x14ac:dyDescent="0.3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x14ac:dyDescent="0.3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 x14ac:dyDescent="0.3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 x14ac:dyDescent="0.3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x14ac:dyDescent="0.3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x14ac:dyDescent="0.3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x14ac:dyDescent="0.3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x14ac:dyDescent="0.3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x14ac:dyDescent="0.3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 x14ac:dyDescent="0.3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x14ac:dyDescent="0.3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 x14ac:dyDescent="0.3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 x14ac:dyDescent="0.3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x14ac:dyDescent="0.3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 x14ac:dyDescent="0.3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x14ac:dyDescent="0.3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x14ac:dyDescent="0.3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x14ac:dyDescent="0.3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x14ac:dyDescent="0.3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x14ac:dyDescent="0.3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 x14ac:dyDescent="0.3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 x14ac:dyDescent="0.3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 x14ac:dyDescent="0.3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 x14ac:dyDescent="0.3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 x14ac:dyDescent="0.3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 x14ac:dyDescent="0.3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 x14ac:dyDescent="0.3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x14ac:dyDescent="0.3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 x14ac:dyDescent="0.3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x14ac:dyDescent="0.3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x14ac:dyDescent="0.3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x14ac:dyDescent="0.3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x14ac:dyDescent="0.3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x14ac:dyDescent="0.3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 x14ac:dyDescent="0.3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x14ac:dyDescent="0.3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 x14ac:dyDescent="0.3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 x14ac:dyDescent="0.3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x14ac:dyDescent="0.3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 x14ac:dyDescent="0.3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 x14ac:dyDescent="0.3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x14ac:dyDescent="0.3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 x14ac:dyDescent="0.3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x14ac:dyDescent="0.3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 x14ac:dyDescent="0.3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 x14ac:dyDescent="0.3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 x14ac:dyDescent="0.3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x14ac:dyDescent="0.3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 x14ac:dyDescent="0.3">
      <c r="A1388" s="1" t="s">
        <v>89</v>
      </c>
      <c r="B1388" s="1" t="s">
        <v>138</v>
      </c>
      <c r="D1388" s="1" t="s">
        <v>4360</v>
      </c>
    </row>
    <row r="1389" spans="1:7" x14ac:dyDescent="0.3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x14ac:dyDescent="0.3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 x14ac:dyDescent="0.3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x14ac:dyDescent="0.3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x14ac:dyDescent="0.3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 x14ac:dyDescent="0.3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 x14ac:dyDescent="0.3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 x14ac:dyDescent="0.3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 x14ac:dyDescent="0.3">
      <c r="A1397" s="1" t="s">
        <v>30</v>
      </c>
      <c r="B1397" s="1" t="s">
        <v>4401</v>
      </c>
      <c r="D1397" s="1" t="s">
        <v>4398</v>
      </c>
    </row>
    <row r="1398" spans="1:7" x14ac:dyDescent="0.3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 x14ac:dyDescent="0.3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x14ac:dyDescent="0.3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x14ac:dyDescent="0.3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x14ac:dyDescent="0.3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x14ac:dyDescent="0.3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 x14ac:dyDescent="0.3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x14ac:dyDescent="0.3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 x14ac:dyDescent="0.3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 x14ac:dyDescent="0.3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 x14ac:dyDescent="0.3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 x14ac:dyDescent="0.3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x14ac:dyDescent="0.3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x14ac:dyDescent="0.3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x14ac:dyDescent="0.3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 x14ac:dyDescent="0.3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 x14ac:dyDescent="0.3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 x14ac:dyDescent="0.3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x14ac:dyDescent="0.3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x14ac:dyDescent="0.3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x14ac:dyDescent="0.3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x14ac:dyDescent="0.3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 x14ac:dyDescent="0.3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x14ac:dyDescent="0.3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 x14ac:dyDescent="0.3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 x14ac:dyDescent="0.3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 x14ac:dyDescent="0.3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x14ac:dyDescent="0.3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 x14ac:dyDescent="0.3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 x14ac:dyDescent="0.3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 x14ac:dyDescent="0.3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x14ac:dyDescent="0.3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x14ac:dyDescent="0.3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x14ac:dyDescent="0.3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 x14ac:dyDescent="0.3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x14ac:dyDescent="0.3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 x14ac:dyDescent="0.3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x14ac:dyDescent="0.3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x14ac:dyDescent="0.3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 x14ac:dyDescent="0.3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 x14ac:dyDescent="0.3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 x14ac:dyDescent="0.3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 x14ac:dyDescent="0.3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x14ac:dyDescent="0.3">
      <c r="A1441" s="1" t="s">
        <v>89</v>
      </c>
      <c r="B1441" s="1" t="s">
        <v>4560</v>
      </c>
      <c r="D1441" s="1" t="s">
        <v>4551</v>
      </c>
    </row>
    <row r="1442" spans="1:7" x14ac:dyDescent="0.3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 x14ac:dyDescent="0.3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 x14ac:dyDescent="0.3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 x14ac:dyDescent="0.3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 x14ac:dyDescent="0.3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 x14ac:dyDescent="0.3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 x14ac:dyDescent="0.3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 x14ac:dyDescent="0.3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 x14ac:dyDescent="0.3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 x14ac:dyDescent="0.3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 x14ac:dyDescent="0.3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 x14ac:dyDescent="0.3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 x14ac:dyDescent="0.3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 x14ac:dyDescent="0.3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x14ac:dyDescent="0.3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x14ac:dyDescent="0.3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x14ac:dyDescent="0.3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 x14ac:dyDescent="0.3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 x14ac:dyDescent="0.3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x14ac:dyDescent="0.3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 x14ac:dyDescent="0.3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x14ac:dyDescent="0.3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x14ac:dyDescent="0.3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 x14ac:dyDescent="0.3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x14ac:dyDescent="0.3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x14ac:dyDescent="0.3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 x14ac:dyDescent="0.3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 x14ac:dyDescent="0.3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x14ac:dyDescent="0.3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 x14ac:dyDescent="0.3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 x14ac:dyDescent="0.3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 x14ac:dyDescent="0.3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x14ac:dyDescent="0.3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 x14ac:dyDescent="0.3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x14ac:dyDescent="0.3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x14ac:dyDescent="0.3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x14ac:dyDescent="0.3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x14ac:dyDescent="0.3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 x14ac:dyDescent="0.3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x14ac:dyDescent="0.3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x14ac:dyDescent="0.3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x14ac:dyDescent="0.3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 x14ac:dyDescent="0.3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 x14ac:dyDescent="0.3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x14ac:dyDescent="0.3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 x14ac:dyDescent="0.3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 x14ac:dyDescent="0.3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 x14ac:dyDescent="0.3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 x14ac:dyDescent="0.3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x14ac:dyDescent="0.3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 x14ac:dyDescent="0.3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 x14ac:dyDescent="0.3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 x14ac:dyDescent="0.3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 x14ac:dyDescent="0.3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 x14ac:dyDescent="0.3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 x14ac:dyDescent="0.3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x14ac:dyDescent="0.3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x14ac:dyDescent="0.3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x14ac:dyDescent="0.3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x14ac:dyDescent="0.3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 x14ac:dyDescent="0.3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 x14ac:dyDescent="0.3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x14ac:dyDescent="0.3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 x14ac:dyDescent="0.3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x14ac:dyDescent="0.3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x14ac:dyDescent="0.3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 x14ac:dyDescent="0.3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x14ac:dyDescent="0.3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 x14ac:dyDescent="0.3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x14ac:dyDescent="0.3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x14ac:dyDescent="0.3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x14ac:dyDescent="0.3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x14ac:dyDescent="0.3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 x14ac:dyDescent="0.3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 x14ac:dyDescent="0.3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 x14ac:dyDescent="0.3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 x14ac:dyDescent="0.3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x14ac:dyDescent="0.3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 x14ac:dyDescent="0.3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 x14ac:dyDescent="0.3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x14ac:dyDescent="0.3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 x14ac:dyDescent="0.3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 x14ac:dyDescent="0.3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 x14ac:dyDescent="0.3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 x14ac:dyDescent="0.3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 x14ac:dyDescent="0.3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 x14ac:dyDescent="0.3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 x14ac:dyDescent="0.3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x14ac:dyDescent="0.3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 x14ac:dyDescent="0.3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 x14ac:dyDescent="0.3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 x14ac:dyDescent="0.3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x14ac:dyDescent="0.3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 x14ac:dyDescent="0.3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 x14ac:dyDescent="0.3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 x14ac:dyDescent="0.3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 x14ac:dyDescent="0.3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 x14ac:dyDescent="0.3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 x14ac:dyDescent="0.3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 x14ac:dyDescent="0.3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 x14ac:dyDescent="0.3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x14ac:dyDescent="0.3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 x14ac:dyDescent="0.3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 x14ac:dyDescent="0.3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 x14ac:dyDescent="0.3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 x14ac:dyDescent="0.3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x14ac:dyDescent="0.3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 x14ac:dyDescent="0.3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 x14ac:dyDescent="0.3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 x14ac:dyDescent="0.3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x14ac:dyDescent="0.3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 x14ac:dyDescent="0.3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x14ac:dyDescent="0.3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 x14ac:dyDescent="0.3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 x14ac:dyDescent="0.3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x14ac:dyDescent="0.3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 x14ac:dyDescent="0.3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x14ac:dyDescent="0.3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x14ac:dyDescent="0.3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x14ac:dyDescent="0.3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x14ac:dyDescent="0.3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x14ac:dyDescent="0.3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 x14ac:dyDescent="0.3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 x14ac:dyDescent="0.3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 x14ac:dyDescent="0.3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x14ac:dyDescent="0.3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 x14ac:dyDescent="0.3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x14ac:dyDescent="0.3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 x14ac:dyDescent="0.3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x14ac:dyDescent="0.3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x14ac:dyDescent="0.3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 x14ac:dyDescent="0.3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x14ac:dyDescent="0.3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 x14ac:dyDescent="0.3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 x14ac:dyDescent="0.3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x14ac:dyDescent="0.3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x14ac:dyDescent="0.3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 x14ac:dyDescent="0.3">
      <c r="A1579" s="1" t="s">
        <v>191</v>
      </c>
      <c r="B1579" s="1" t="s">
        <v>5047</v>
      </c>
      <c r="D1579" s="1" t="s">
        <v>10</v>
      </c>
    </row>
    <row r="1580" spans="1:7" x14ac:dyDescent="0.3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 x14ac:dyDescent="0.3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 x14ac:dyDescent="0.3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 x14ac:dyDescent="0.3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 x14ac:dyDescent="0.3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 x14ac:dyDescent="0.3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 x14ac:dyDescent="0.3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 x14ac:dyDescent="0.3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x14ac:dyDescent="0.3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 x14ac:dyDescent="0.3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x14ac:dyDescent="0.3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x14ac:dyDescent="0.3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x14ac:dyDescent="0.3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x14ac:dyDescent="0.3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x14ac:dyDescent="0.3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x14ac:dyDescent="0.3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x14ac:dyDescent="0.3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x14ac:dyDescent="0.3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x14ac:dyDescent="0.3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x14ac:dyDescent="0.3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x14ac:dyDescent="0.3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x14ac:dyDescent="0.3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x14ac:dyDescent="0.3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x14ac:dyDescent="0.3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x14ac:dyDescent="0.3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 x14ac:dyDescent="0.3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 x14ac:dyDescent="0.3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x14ac:dyDescent="0.3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 x14ac:dyDescent="0.3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 x14ac:dyDescent="0.3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x14ac:dyDescent="0.3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x14ac:dyDescent="0.3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 x14ac:dyDescent="0.3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x14ac:dyDescent="0.3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x14ac:dyDescent="0.3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 x14ac:dyDescent="0.3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x14ac:dyDescent="0.3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x14ac:dyDescent="0.3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x14ac:dyDescent="0.3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 x14ac:dyDescent="0.3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x14ac:dyDescent="0.3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 x14ac:dyDescent="0.3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x14ac:dyDescent="0.3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x14ac:dyDescent="0.3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x14ac:dyDescent="0.3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 x14ac:dyDescent="0.3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 x14ac:dyDescent="0.3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 x14ac:dyDescent="0.3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 x14ac:dyDescent="0.3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 x14ac:dyDescent="0.3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 x14ac:dyDescent="0.3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 x14ac:dyDescent="0.3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x14ac:dyDescent="0.3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x14ac:dyDescent="0.3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x14ac:dyDescent="0.3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x14ac:dyDescent="0.3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x14ac:dyDescent="0.3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 x14ac:dyDescent="0.3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x14ac:dyDescent="0.3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x14ac:dyDescent="0.3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x14ac:dyDescent="0.3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 x14ac:dyDescent="0.3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x14ac:dyDescent="0.3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x14ac:dyDescent="0.3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x14ac:dyDescent="0.3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x14ac:dyDescent="0.3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x14ac:dyDescent="0.3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x14ac:dyDescent="0.3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 x14ac:dyDescent="0.3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 x14ac:dyDescent="0.3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 x14ac:dyDescent="0.3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 x14ac:dyDescent="0.3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x14ac:dyDescent="0.3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 x14ac:dyDescent="0.3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x14ac:dyDescent="0.3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x14ac:dyDescent="0.3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 x14ac:dyDescent="0.3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x14ac:dyDescent="0.3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 x14ac:dyDescent="0.3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 x14ac:dyDescent="0.3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 x14ac:dyDescent="0.3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 x14ac:dyDescent="0.3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 x14ac:dyDescent="0.3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 x14ac:dyDescent="0.3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 x14ac:dyDescent="0.3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 x14ac:dyDescent="0.3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 x14ac:dyDescent="0.3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 x14ac:dyDescent="0.3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x14ac:dyDescent="0.3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 x14ac:dyDescent="0.3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x14ac:dyDescent="0.3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 x14ac:dyDescent="0.3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 x14ac:dyDescent="0.3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 x14ac:dyDescent="0.3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 x14ac:dyDescent="0.3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 x14ac:dyDescent="0.3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 x14ac:dyDescent="0.3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 x14ac:dyDescent="0.3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x14ac:dyDescent="0.3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x14ac:dyDescent="0.3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 x14ac:dyDescent="0.3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 x14ac:dyDescent="0.3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x14ac:dyDescent="0.3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x14ac:dyDescent="0.3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x14ac:dyDescent="0.3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 x14ac:dyDescent="0.3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 x14ac:dyDescent="0.3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x14ac:dyDescent="0.3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x14ac:dyDescent="0.3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 x14ac:dyDescent="0.3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x14ac:dyDescent="0.3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x14ac:dyDescent="0.3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 x14ac:dyDescent="0.3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x14ac:dyDescent="0.3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 x14ac:dyDescent="0.3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 x14ac:dyDescent="0.3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 x14ac:dyDescent="0.3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 x14ac:dyDescent="0.3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 x14ac:dyDescent="0.3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x14ac:dyDescent="0.3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x14ac:dyDescent="0.3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 x14ac:dyDescent="0.3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 x14ac:dyDescent="0.3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 x14ac:dyDescent="0.3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 x14ac:dyDescent="0.3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 x14ac:dyDescent="0.3">
      <c r="A1705" s="1" t="s">
        <v>13</v>
      </c>
      <c r="B1705" s="1" t="s">
        <v>5444</v>
      </c>
      <c r="C1705" s="1" t="s">
        <v>5445</v>
      </c>
      <c r="D1705" s="1" t="s">
        <v>1865</v>
      </c>
      <c r="G1705" s="1" t="s">
        <v>5446</v>
      </c>
    </row>
    <row r="1706" spans="1:7" x14ac:dyDescent="0.3">
      <c r="A1706" s="1" t="s">
        <v>30</v>
      </c>
      <c r="B1706" s="1" t="s">
        <v>3622</v>
      </c>
      <c r="C1706" s="1" t="s">
        <v>5479</v>
      </c>
      <c r="D1706" s="1" t="s">
        <v>1865</v>
      </c>
      <c r="F1706" s="1" t="s">
        <v>5480</v>
      </c>
      <c r="G1706" s="1" t="s">
        <v>5481</v>
      </c>
    </row>
    <row r="1707" spans="1:7" x14ac:dyDescent="0.3">
      <c r="A1707" s="1" t="s">
        <v>30</v>
      </c>
      <c r="B1707" s="1" t="s">
        <v>5482</v>
      </c>
      <c r="C1707" s="1" t="s">
        <v>5483</v>
      </c>
      <c r="D1707" s="1" t="s">
        <v>1865</v>
      </c>
      <c r="G1707" s="1" t="s">
        <v>5484</v>
      </c>
    </row>
    <row r="1708" spans="1:7" x14ac:dyDescent="0.3">
      <c r="A1708" s="1" t="s">
        <v>83</v>
      </c>
      <c r="B1708" s="1" t="s">
        <v>5485</v>
      </c>
      <c r="C1708" s="1" t="s">
        <v>5486</v>
      </c>
      <c r="D1708" s="1" t="s">
        <v>1865</v>
      </c>
      <c r="G1708" s="1" t="s">
        <v>5487</v>
      </c>
    </row>
    <row r="1709" spans="1:7" x14ac:dyDescent="0.3">
      <c r="A1709" s="1" t="s">
        <v>30</v>
      </c>
      <c r="B1709" s="1" t="s">
        <v>5488</v>
      </c>
      <c r="C1709" s="1" t="s">
        <v>5489</v>
      </c>
      <c r="D1709" s="1" t="s">
        <v>1865</v>
      </c>
      <c r="G1709" s="1" t="s">
        <v>5490</v>
      </c>
    </row>
    <row r="1710" spans="1:7" x14ac:dyDescent="0.3">
      <c r="A1710" s="1" t="s">
        <v>30</v>
      </c>
      <c r="B1710" s="1" t="s">
        <v>5491</v>
      </c>
      <c r="C1710" s="1" t="s">
        <v>5492</v>
      </c>
      <c r="D1710" s="1" t="s">
        <v>1865</v>
      </c>
      <c r="G1710" s="1" t="s">
        <v>5493</v>
      </c>
    </row>
    <row r="1711" spans="1:7" x14ac:dyDescent="0.3">
      <c r="A1711" s="1" t="s">
        <v>13</v>
      </c>
      <c r="B1711" s="1" t="s">
        <v>5494</v>
      </c>
      <c r="C1711" s="1" t="s">
        <v>5495</v>
      </c>
      <c r="D1711" s="1" t="s">
        <v>1865</v>
      </c>
      <c r="G1711" s="1" t="s">
        <v>5496</v>
      </c>
    </row>
    <row r="1712" spans="1:7" x14ac:dyDescent="0.3">
      <c r="A1712" s="1" t="s">
        <v>13</v>
      </c>
      <c r="B1712" s="1" t="s">
        <v>5497</v>
      </c>
      <c r="C1712" s="1" t="s">
        <v>5498</v>
      </c>
      <c r="D1712" s="1" t="s">
        <v>1865</v>
      </c>
      <c r="G1712" s="1" t="s">
        <v>5499</v>
      </c>
    </row>
    <row r="1713" spans="1:7" x14ac:dyDescent="0.3">
      <c r="A1713" s="1" t="s">
        <v>13</v>
      </c>
      <c r="B1713" s="1" t="s">
        <v>5500</v>
      </c>
      <c r="C1713" s="1" t="s">
        <v>5501</v>
      </c>
      <c r="D1713" s="1" t="s">
        <v>1865</v>
      </c>
      <c r="G1713" s="1" t="s">
        <v>5502</v>
      </c>
    </row>
    <row r="1714" spans="1:7" x14ac:dyDescent="0.3">
      <c r="A1714" s="1" t="s">
        <v>30</v>
      </c>
      <c r="B1714" s="1" t="s">
        <v>5503</v>
      </c>
      <c r="C1714" s="1" t="s">
        <v>5504</v>
      </c>
      <c r="D1714" s="1" t="s">
        <v>1865</v>
      </c>
      <c r="G1714" s="1" t="s">
        <v>5505</v>
      </c>
    </row>
    <row r="1715" spans="1:7" x14ac:dyDescent="0.3">
      <c r="A1715" s="1" t="s">
        <v>13</v>
      </c>
      <c r="B1715" s="1" t="s">
        <v>5506</v>
      </c>
      <c r="C1715" s="1" t="s">
        <v>5507</v>
      </c>
      <c r="D1715" s="1" t="s">
        <v>1865</v>
      </c>
      <c r="G1715" s="1" t="s">
        <v>5508</v>
      </c>
    </row>
    <row r="1716" spans="1:7" x14ac:dyDescent="0.3">
      <c r="A1716" s="1" t="s">
        <v>30</v>
      </c>
      <c r="B1716" s="1" t="s">
        <v>5509</v>
      </c>
      <c r="C1716" s="1" t="s">
        <v>5510</v>
      </c>
      <c r="D1716" s="1" t="s">
        <v>1865</v>
      </c>
      <c r="G1716" s="1" t="s">
        <v>5511</v>
      </c>
    </row>
    <row r="1717" spans="1:7" x14ac:dyDescent="0.3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G1717" s="1" t="s">
        <v>5513</v>
      </c>
    </row>
    <row r="1718" spans="1:7" x14ac:dyDescent="0.3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G1718" s="1" t="s">
        <v>5517</v>
      </c>
    </row>
    <row r="1719" spans="1:7" x14ac:dyDescent="0.3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G1719" s="1" t="s">
        <v>5520</v>
      </c>
    </row>
    <row r="1720" spans="1:7" x14ac:dyDescent="0.3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x14ac:dyDescent="0.3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G1721" s="1" t="s">
        <v>5527</v>
      </c>
    </row>
    <row r="1722" spans="1:7" x14ac:dyDescent="0.3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G1722" s="1" t="s">
        <v>5530</v>
      </c>
    </row>
    <row r="1723" spans="1:7" x14ac:dyDescent="0.3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G1723" s="1" t="s">
        <v>5533</v>
      </c>
    </row>
    <row r="1724" spans="1:7" x14ac:dyDescent="0.3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G1724" s="1" t="s">
        <v>5536</v>
      </c>
    </row>
    <row r="1725" spans="1:7" x14ac:dyDescent="0.3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G1725" s="1" t="s">
        <v>5539</v>
      </c>
    </row>
    <row r="1726" spans="1:7" x14ac:dyDescent="0.3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G1726" s="1" t="s">
        <v>5542</v>
      </c>
    </row>
    <row r="1727" spans="1:7" x14ac:dyDescent="0.3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</row>
    <row r="1728" spans="1:7" x14ac:dyDescent="0.3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G1728" s="1" t="s">
        <v>5547</v>
      </c>
    </row>
    <row r="1729" spans="1:7" x14ac:dyDescent="0.3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G1729" s="1" t="s">
        <v>5550</v>
      </c>
    </row>
    <row r="1730" spans="1:7" x14ac:dyDescent="0.3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G1730" s="1" t="s">
        <v>5553</v>
      </c>
    </row>
    <row r="1731" spans="1:7" x14ac:dyDescent="0.3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x14ac:dyDescent="0.3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G1732" s="1" t="s">
        <v>5561</v>
      </c>
    </row>
    <row r="1733" spans="1:7" x14ac:dyDescent="0.3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G1733" s="1" t="s">
        <v>5564</v>
      </c>
    </row>
    <row r="1734" spans="1:7" x14ac:dyDescent="0.3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G1734" s="1" t="s">
        <v>5568</v>
      </c>
    </row>
    <row r="1735" spans="1:7" x14ac:dyDescent="0.3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G1735" s="1" t="s">
        <v>5571</v>
      </c>
    </row>
    <row r="1736" spans="1:7" x14ac:dyDescent="0.3">
      <c r="A1736" s="1" t="s">
        <v>83</v>
      </c>
      <c r="B1736" s="1" t="s">
        <v>5572</v>
      </c>
      <c r="D1736" s="1" t="s">
        <v>1865</v>
      </c>
      <c r="E1736" s="1" t="s">
        <v>1865</v>
      </c>
      <c r="G1736" s="1" t="s">
        <v>5573</v>
      </c>
    </row>
    <row r="1737" spans="1:7" x14ac:dyDescent="0.3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G1737" s="1" t="s">
        <v>5576</v>
      </c>
    </row>
    <row r="1738" spans="1:7" x14ac:dyDescent="0.3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x14ac:dyDescent="0.3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G1739" s="1" t="s">
        <v>5583</v>
      </c>
    </row>
    <row r="1740" spans="1:7" x14ac:dyDescent="0.3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x14ac:dyDescent="0.3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G1741" s="1" t="s">
        <v>5590</v>
      </c>
    </row>
    <row r="1742" spans="1:7" x14ac:dyDescent="0.3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x14ac:dyDescent="0.3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G1743" s="1" t="s">
        <v>5597</v>
      </c>
    </row>
    <row r="1744" spans="1:7" x14ac:dyDescent="0.3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x14ac:dyDescent="0.3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x14ac:dyDescent="0.3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x14ac:dyDescent="0.3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x14ac:dyDescent="0.3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x14ac:dyDescent="0.3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x14ac:dyDescent="0.3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x14ac:dyDescent="0.3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G1751" s="1" t="s">
        <v>5628</v>
      </c>
    </row>
    <row r="1752" spans="1:7" x14ac:dyDescent="0.3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x14ac:dyDescent="0.3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x14ac:dyDescent="0.3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x14ac:dyDescent="0.3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x14ac:dyDescent="0.3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x14ac:dyDescent="0.3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x14ac:dyDescent="0.3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G1758" s="1" t="s">
        <v>5654</v>
      </c>
    </row>
    <row r="1759" spans="1:7" x14ac:dyDescent="0.3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x14ac:dyDescent="0.3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x14ac:dyDescent="0.3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G1761" s="1" t="s">
        <v>5664</v>
      </c>
    </row>
    <row r="1762" spans="1:7" x14ac:dyDescent="0.3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x14ac:dyDescent="0.3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</row>
    <row r="1764" spans="1:7" x14ac:dyDescent="0.3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</row>
    <row r="1765" spans="1:7" x14ac:dyDescent="0.3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G1765" s="1" t="s">
        <v>5674</v>
      </c>
    </row>
    <row r="1766" spans="1:7" x14ac:dyDescent="0.3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x14ac:dyDescent="0.3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x14ac:dyDescent="0.3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x14ac:dyDescent="0.3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x14ac:dyDescent="0.3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</row>
    <row r="1771" spans="1:7" x14ac:dyDescent="0.3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G1771" s="1" t="s">
        <v>5698</v>
      </c>
    </row>
    <row r="1772" spans="1:7" x14ac:dyDescent="0.3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x14ac:dyDescent="0.3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x14ac:dyDescent="0.3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G1774" s="1" t="s">
        <v>5711</v>
      </c>
    </row>
    <row r="1775" spans="1:7" x14ac:dyDescent="0.3">
      <c r="A1775" s="1" t="s">
        <v>680</v>
      </c>
      <c r="B1775" s="1" t="s">
        <v>5709</v>
      </c>
      <c r="D1775" s="1" t="s">
        <v>1865</v>
      </c>
      <c r="E1775" s="1" t="s">
        <v>5706</v>
      </c>
      <c r="F1775" s="1" t="s">
        <v>5711</v>
      </c>
    </row>
    <row r="1776" spans="1:7" x14ac:dyDescent="0.3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</row>
    <row r="1777" spans="1:7" x14ac:dyDescent="0.3">
      <c r="A1777" s="1" t="s">
        <v>680</v>
      </c>
      <c r="B1777" s="1" t="s">
        <v>5716</v>
      </c>
      <c r="D1777" s="1" t="s">
        <v>1865</v>
      </c>
      <c r="E1777" s="1" t="s">
        <v>5717</v>
      </c>
      <c r="F1777" s="1" t="s">
        <v>5718</v>
      </c>
    </row>
    <row r="1778" spans="1:7" x14ac:dyDescent="0.3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</row>
    <row r="1779" spans="1:7" x14ac:dyDescent="0.3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x14ac:dyDescent="0.3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</row>
    <row r="1781" spans="1:7" x14ac:dyDescent="0.3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</row>
    <row r="1782" spans="1:7" x14ac:dyDescent="0.3">
      <c r="A1782" s="1" t="s">
        <v>680</v>
      </c>
      <c r="B1782" s="1" t="s">
        <v>5732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x14ac:dyDescent="0.3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G1783" s="1" t="s">
        <v>5738</v>
      </c>
    </row>
    <row r="1784" spans="1:7" x14ac:dyDescent="0.3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x14ac:dyDescent="0.3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</row>
    <row r="1786" spans="1:7" x14ac:dyDescent="0.3">
      <c r="A1786" s="1" t="s">
        <v>680</v>
      </c>
      <c r="B1786" s="1" t="s">
        <v>5744</v>
      </c>
      <c r="D1786" s="1" t="s">
        <v>1865</v>
      </c>
      <c r="F1786" s="1" t="s">
        <v>5745</v>
      </c>
    </row>
    <row r="1787" spans="1:7" x14ac:dyDescent="0.3">
      <c r="A1787" s="1" t="s">
        <v>680</v>
      </c>
      <c r="B1787" s="1" t="s">
        <v>5746</v>
      </c>
      <c r="D1787" s="1" t="s">
        <v>1865</v>
      </c>
      <c r="E1787" s="1" t="s">
        <v>5706</v>
      </c>
      <c r="G1787" s="1" t="s">
        <v>5747</v>
      </c>
    </row>
    <row r="1788" spans="1:7" x14ac:dyDescent="0.3">
      <c r="A1788" s="1" t="s">
        <v>680</v>
      </c>
      <c r="B1788" s="1" t="s">
        <v>5748</v>
      </c>
      <c r="D1788" s="1" t="s">
        <v>1865</v>
      </c>
    </row>
    <row r="1789" spans="1:7" x14ac:dyDescent="0.3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</row>
    <row r="1790" spans="1:7" x14ac:dyDescent="0.3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</row>
    <row r="1791" spans="1:7" x14ac:dyDescent="0.3">
      <c r="A1791" s="1" t="s">
        <v>680</v>
      </c>
      <c r="B1791" s="1" t="s">
        <v>5751</v>
      </c>
      <c r="D1791" s="1" t="s">
        <v>1865</v>
      </c>
      <c r="E1791" s="1" t="s">
        <v>1865</v>
      </c>
      <c r="G1791" s="1" t="s">
        <v>5752</v>
      </c>
    </row>
    <row r="1792" spans="1:7" x14ac:dyDescent="0.3">
      <c r="A1792" s="1" t="s">
        <v>680</v>
      </c>
      <c r="B1792" s="1" t="s">
        <v>5753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x14ac:dyDescent="0.3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x14ac:dyDescent="0.3">
      <c r="A1794" s="1" t="s">
        <v>680</v>
      </c>
      <c r="B1794" s="1" t="s">
        <v>5762</v>
      </c>
      <c r="D1794" s="1" t="s">
        <v>1865</v>
      </c>
      <c r="F1794" s="1" t="s">
        <v>5763</v>
      </c>
    </row>
    <row r="1795" spans="1:7" x14ac:dyDescent="0.3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</row>
    <row r="1796" spans="1:7" x14ac:dyDescent="0.3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x14ac:dyDescent="0.3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x14ac:dyDescent="0.3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x14ac:dyDescent="0.3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x14ac:dyDescent="0.3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G1800" s="1" t="s">
        <v>5783</v>
      </c>
    </row>
    <row r="1801" spans="1:7" x14ac:dyDescent="0.3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G1801" s="1" t="s">
        <v>5786</v>
      </c>
    </row>
    <row r="1802" spans="1:7" x14ac:dyDescent="0.3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x14ac:dyDescent="0.3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G1803" s="1" t="s">
        <v>5793</v>
      </c>
    </row>
    <row r="1804" spans="1:7" x14ac:dyDescent="0.3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x14ac:dyDescent="0.3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x14ac:dyDescent="0.3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G1806" s="1" t="s">
        <v>5804</v>
      </c>
    </row>
    <row r="1807" spans="1:7" x14ac:dyDescent="0.3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G1807" s="1" t="s">
        <v>5807</v>
      </c>
    </row>
    <row r="1808" spans="1:7" x14ac:dyDescent="0.3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x14ac:dyDescent="0.3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x14ac:dyDescent="0.3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G1810" s="1" t="s">
        <v>5819</v>
      </c>
    </row>
    <row r="1811" spans="1:7" x14ac:dyDescent="0.3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x14ac:dyDescent="0.3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G1812" s="1" t="s">
        <v>5826</v>
      </c>
    </row>
    <row r="1813" spans="1:7" x14ac:dyDescent="0.3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</row>
    <row r="1814" spans="1:7" x14ac:dyDescent="0.3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G1814" s="1" t="s">
        <v>5831</v>
      </c>
    </row>
    <row r="1815" spans="1:7" x14ac:dyDescent="0.3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G1815" s="1" t="s">
        <v>5834</v>
      </c>
    </row>
    <row r="1816" spans="1:7" x14ac:dyDescent="0.3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G1816" s="1" t="s">
        <v>5838</v>
      </c>
    </row>
    <row r="1817" spans="1:7" x14ac:dyDescent="0.3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x14ac:dyDescent="0.3">
      <c r="A1818" s="1" t="s">
        <v>13</v>
      </c>
      <c r="B1818" s="1" t="s">
        <v>5843</v>
      </c>
      <c r="C1818" s="1" t="s">
        <v>5844</v>
      </c>
      <c r="D1818" s="1" t="s">
        <v>1865</v>
      </c>
      <c r="G1818" s="1" t="s">
        <v>5845</v>
      </c>
    </row>
    <row r="1819" spans="1:7" x14ac:dyDescent="0.3">
      <c r="A1819" s="1" t="s">
        <v>13</v>
      </c>
      <c r="B1819" s="1" t="s">
        <v>5846</v>
      </c>
      <c r="C1819" s="1" t="s">
        <v>5847</v>
      </c>
      <c r="D1819" s="1" t="s">
        <v>1865</v>
      </c>
      <c r="F1819" s="1" t="s">
        <v>5848</v>
      </c>
      <c r="G1819" s="1" t="s">
        <v>5845</v>
      </c>
    </row>
    <row r="1820" spans="1:7" x14ac:dyDescent="0.3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G1820" s="1" t="s">
        <v>5851</v>
      </c>
    </row>
    <row r="1821" spans="1:7" x14ac:dyDescent="0.3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G1821" s="1" t="s">
        <v>5854</v>
      </c>
    </row>
    <row r="1822" spans="1:7" x14ac:dyDescent="0.3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G1822" s="1" t="s">
        <v>5783</v>
      </c>
    </row>
    <row r="1823" spans="1:7" x14ac:dyDescent="0.3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G1823" s="1" t="s">
        <v>5859</v>
      </c>
    </row>
    <row r="1824" spans="1:7" x14ac:dyDescent="0.3">
      <c r="A1824" s="1" t="s">
        <v>89</v>
      </c>
      <c r="B1824" s="1" t="s">
        <v>5860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x14ac:dyDescent="0.3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x14ac:dyDescent="0.3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G1826" s="1" t="s">
        <v>5871</v>
      </c>
    </row>
    <row r="1827" spans="1:7" x14ac:dyDescent="0.3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x14ac:dyDescent="0.3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x14ac:dyDescent="0.3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G1829" s="1" t="s">
        <v>5882</v>
      </c>
    </row>
    <row r="1830" spans="1:7" x14ac:dyDescent="0.3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x14ac:dyDescent="0.3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x14ac:dyDescent="0.3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x14ac:dyDescent="0.3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x14ac:dyDescent="0.3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G1834" s="1" t="s">
        <v>5900</v>
      </c>
    </row>
    <row r="1835" spans="1:7" x14ac:dyDescent="0.3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G1835" s="1" t="s">
        <v>5903</v>
      </c>
    </row>
    <row r="1836" spans="1:7" x14ac:dyDescent="0.3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x14ac:dyDescent="0.3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x14ac:dyDescent="0.3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x14ac:dyDescent="0.3">
      <c r="A1839" s="1" t="s">
        <v>36</v>
      </c>
      <c r="B1839" s="1" t="s">
        <v>5916</v>
      </c>
      <c r="C1839" s="1" t="s">
        <v>5917</v>
      </c>
      <c r="D1839" s="1" t="s">
        <v>1865</v>
      </c>
      <c r="F1839" s="1" t="s">
        <v>5918</v>
      </c>
      <c r="G1839" s="1" t="s">
        <v>5919</v>
      </c>
    </row>
    <row r="1840" spans="1:7" x14ac:dyDescent="0.3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x14ac:dyDescent="0.3">
      <c r="A1841" s="1" t="s">
        <v>30</v>
      </c>
      <c r="B1841" s="1" t="s">
        <v>5921</v>
      </c>
      <c r="C1841" s="1" t="s">
        <v>5922</v>
      </c>
      <c r="D1841" s="1" t="s">
        <v>1865</v>
      </c>
      <c r="F1841" s="1" t="s">
        <v>5923</v>
      </c>
      <c r="G1841" s="1" t="s">
        <v>5924</v>
      </c>
    </row>
    <row r="1842" spans="1:7" x14ac:dyDescent="0.3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x14ac:dyDescent="0.3">
      <c r="A1843" s="1" t="s">
        <v>13</v>
      </c>
      <c r="B1843" s="1" t="s">
        <v>5930</v>
      </c>
      <c r="C1843" s="1" t="s">
        <v>5931</v>
      </c>
      <c r="D1843" s="1" t="s">
        <v>1865</v>
      </c>
      <c r="G1843" s="1" t="s">
        <v>5819</v>
      </c>
    </row>
    <row r="1844" spans="1:7" x14ac:dyDescent="0.3">
      <c r="A1844" s="1" t="s">
        <v>83</v>
      </c>
      <c r="B1844" s="1" t="s">
        <v>4482</v>
      </c>
      <c r="C1844" s="1" t="s">
        <v>5932</v>
      </c>
      <c r="D1844" s="1" t="s">
        <v>1865</v>
      </c>
      <c r="F1844" s="1" t="s">
        <v>5933</v>
      </c>
      <c r="G1844" s="1" t="s">
        <v>5934</v>
      </c>
    </row>
    <row r="1845" spans="1:7" x14ac:dyDescent="0.3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G1845" s="1" t="s">
        <v>5937</v>
      </c>
    </row>
    <row r="1846" spans="1:7" x14ac:dyDescent="0.3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x14ac:dyDescent="0.3">
      <c r="A1847" s="1" t="s">
        <v>30</v>
      </c>
      <c r="B1847" s="1" t="s">
        <v>5942</v>
      </c>
      <c r="C1847" s="1" t="s">
        <v>5943</v>
      </c>
      <c r="D1847" s="1" t="s">
        <v>1865</v>
      </c>
      <c r="F1847" s="1" t="s">
        <v>5944</v>
      </c>
      <c r="G1847" s="1" t="s">
        <v>5945</v>
      </c>
    </row>
    <row r="1848" spans="1:7" x14ac:dyDescent="0.3">
      <c r="A1848" s="1" t="s">
        <v>680</v>
      </c>
      <c r="B1848" s="1" t="s">
        <v>5946</v>
      </c>
      <c r="C1848" s="1" t="s">
        <v>5947</v>
      </c>
      <c r="D1848" s="1" t="s">
        <v>1865</v>
      </c>
      <c r="G1848" s="1" t="s">
        <v>5948</v>
      </c>
    </row>
    <row r="1849" spans="1:7" x14ac:dyDescent="0.3">
      <c r="A1849" s="1" t="s">
        <v>30</v>
      </c>
      <c r="B1849" s="1" t="s">
        <v>5949</v>
      </c>
      <c r="C1849" s="1" t="s">
        <v>5950</v>
      </c>
      <c r="D1849" s="1" t="s">
        <v>1865</v>
      </c>
      <c r="G1849" s="1" t="s">
        <v>5951</v>
      </c>
    </row>
    <row r="1850" spans="1:7" x14ac:dyDescent="0.3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x14ac:dyDescent="0.3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x14ac:dyDescent="0.3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x14ac:dyDescent="0.3">
      <c r="A1853" s="1" t="s">
        <v>30</v>
      </c>
      <c r="B1853" s="1" t="s">
        <v>5967</v>
      </c>
      <c r="C1853" s="1" t="s">
        <v>5968</v>
      </c>
      <c r="D1853" s="1" t="s">
        <v>1865</v>
      </c>
      <c r="G1853" s="1" t="s">
        <v>5969</v>
      </c>
    </row>
    <row r="1854" spans="1:7" x14ac:dyDescent="0.3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G1854" s="1" t="s">
        <v>5972</v>
      </c>
    </row>
    <row r="1855" spans="1:7" x14ac:dyDescent="0.3">
      <c r="A1855" s="1" t="s">
        <v>30</v>
      </c>
      <c r="B1855" s="1" t="s">
        <v>5973</v>
      </c>
      <c r="D1855" s="1" t="s">
        <v>1865</v>
      </c>
      <c r="E1855" s="1" t="s">
        <v>5974</v>
      </c>
      <c r="G1855" s="1" t="s">
        <v>5975</v>
      </c>
    </row>
    <row r="1856" spans="1:7" x14ac:dyDescent="0.3">
      <c r="A1856" s="1" t="s">
        <v>30</v>
      </c>
      <c r="B1856" s="1" t="s">
        <v>5976</v>
      </c>
      <c r="C1856" s="1" t="s">
        <v>5977</v>
      </c>
      <c r="D1856" s="1" t="s">
        <v>1865</v>
      </c>
      <c r="G1856" s="1" t="s">
        <v>5978</v>
      </c>
    </row>
    <row r="1857" spans="1:7" x14ac:dyDescent="0.3">
      <c r="A1857" s="1" t="s">
        <v>36</v>
      </c>
      <c r="B1857" s="1" t="s">
        <v>5979</v>
      </c>
      <c r="C1857" s="1" t="s">
        <v>5980</v>
      </c>
      <c r="D1857" s="1" t="s">
        <v>1865</v>
      </c>
      <c r="G1857" s="1" t="s">
        <v>5981</v>
      </c>
    </row>
    <row r="1858" spans="1:7" x14ac:dyDescent="0.3">
      <c r="A1858" s="1" t="s">
        <v>30</v>
      </c>
      <c r="B1858" s="1" t="s">
        <v>5982</v>
      </c>
      <c r="D1858" s="1" t="s">
        <v>1865</v>
      </c>
      <c r="G1858" s="1" t="s">
        <v>5983</v>
      </c>
    </row>
    <row r="1859" spans="1:7" x14ac:dyDescent="0.3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G1859" s="1" t="s">
        <v>5987</v>
      </c>
    </row>
    <row r="1860" spans="1:7" x14ac:dyDescent="0.3">
      <c r="A1860" s="1" t="s">
        <v>30</v>
      </c>
      <c r="B1860" s="1" t="s">
        <v>5988</v>
      </c>
      <c r="C1860" s="1" t="s">
        <v>5989</v>
      </c>
      <c r="D1860" s="1" t="s">
        <v>1865</v>
      </c>
      <c r="G1860" s="1" t="s">
        <v>5990</v>
      </c>
    </row>
    <row r="1861" spans="1:7" x14ac:dyDescent="0.3">
      <c r="A1861" s="1" t="s">
        <v>21</v>
      </c>
      <c r="B1861" s="1" t="s">
        <v>5991</v>
      </c>
      <c r="C1861" s="1" t="s">
        <v>5992</v>
      </c>
      <c r="D1861" s="1" t="s">
        <v>1865</v>
      </c>
      <c r="F1861" s="1" t="s">
        <v>5993</v>
      </c>
      <c r="G1861" s="1" t="s">
        <v>5994</v>
      </c>
    </row>
    <row r="1862" spans="1:7" x14ac:dyDescent="0.3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G1862" s="1" t="s">
        <v>5997</v>
      </c>
    </row>
    <row r="1863" spans="1:7" x14ac:dyDescent="0.3">
      <c r="A1863" s="1" t="s">
        <v>30</v>
      </c>
      <c r="B1863" s="1" t="s">
        <v>3066</v>
      </c>
      <c r="C1863" s="1" t="s">
        <v>5998</v>
      </c>
      <c r="D1863" s="1" t="s">
        <v>1865</v>
      </c>
      <c r="G1863" s="1" t="s">
        <v>5999</v>
      </c>
    </row>
    <row r="1864" spans="1:7" x14ac:dyDescent="0.3">
      <c r="A1864" s="1" t="s">
        <v>30</v>
      </c>
      <c r="B1864" s="1" t="s">
        <v>6000</v>
      </c>
      <c r="C1864" s="1" t="s">
        <v>6001</v>
      </c>
      <c r="D1864" s="1" t="s">
        <v>1865</v>
      </c>
      <c r="F1864" s="1" t="s">
        <v>6002</v>
      </c>
      <c r="G1864" s="1" t="s">
        <v>6003</v>
      </c>
    </row>
    <row r="1865" spans="1:7" x14ac:dyDescent="0.3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x14ac:dyDescent="0.3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G1866" s="1" t="s">
        <v>6012</v>
      </c>
    </row>
    <row r="1867" spans="1:7" x14ac:dyDescent="0.3">
      <c r="A1867" s="1" t="s">
        <v>30</v>
      </c>
      <c r="B1867" s="1" t="s">
        <v>6013</v>
      </c>
      <c r="C1867" s="1" t="s">
        <v>6014</v>
      </c>
      <c r="D1867" s="1" t="s">
        <v>1865</v>
      </c>
      <c r="G1867" s="1" t="s">
        <v>6015</v>
      </c>
    </row>
    <row r="1868" spans="1:7" x14ac:dyDescent="0.3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</row>
    <row r="1869" spans="1:7" x14ac:dyDescent="0.3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G1869" s="1" t="s">
        <v>6021</v>
      </c>
    </row>
    <row r="1870" spans="1:7" x14ac:dyDescent="0.3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G1870" s="1" t="s">
        <v>6025</v>
      </c>
    </row>
    <row r="1871" spans="1:7" x14ac:dyDescent="0.3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x14ac:dyDescent="0.3">
      <c r="A1872" s="1" t="s">
        <v>21</v>
      </c>
      <c r="B1872" s="1" t="s">
        <v>6031</v>
      </c>
      <c r="C1872" s="1" t="s">
        <v>6032</v>
      </c>
      <c r="D1872" s="1" t="s">
        <v>1865</v>
      </c>
      <c r="F1872" s="1" t="s">
        <v>5620</v>
      </c>
      <c r="G1872" s="1" t="s">
        <v>5621</v>
      </c>
    </row>
    <row r="1873" spans="1:7" x14ac:dyDescent="0.3">
      <c r="A1873" s="1" t="s">
        <v>30</v>
      </c>
      <c r="B1873" s="1" t="s">
        <v>6033</v>
      </c>
      <c r="C1873" s="1" t="s">
        <v>6034</v>
      </c>
      <c r="D1873" s="1" t="s">
        <v>1865</v>
      </c>
      <c r="F1873" s="1" t="s">
        <v>6035</v>
      </c>
      <c r="G1873" s="1" t="s">
        <v>6036</v>
      </c>
    </row>
    <row r="1874" spans="1:7" x14ac:dyDescent="0.3">
      <c r="A1874" s="1" t="s">
        <v>13</v>
      </c>
      <c r="B1874" s="1" t="s">
        <v>6037</v>
      </c>
      <c r="C1874" s="1" t="s">
        <v>5833</v>
      </c>
      <c r="D1874" s="1" t="s">
        <v>1865</v>
      </c>
      <c r="G1874" s="1" t="s">
        <v>5834</v>
      </c>
    </row>
    <row r="1875" spans="1:7" x14ac:dyDescent="0.3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x14ac:dyDescent="0.3">
      <c r="A1876" s="1" t="s">
        <v>36</v>
      </c>
      <c r="B1876" s="1" t="s">
        <v>6043</v>
      </c>
      <c r="C1876" s="1" t="s">
        <v>6044</v>
      </c>
      <c r="D1876" s="1" t="s">
        <v>1865</v>
      </c>
      <c r="F1876" s="1" t="s">
        <v>6045</v>
      </c>
      <c r="G1876" s="1" t="s">
        <v>6046</v>
      </c>
    </row>
    <row r="1877" spans="1:7" x14ac:dyDescent="0.3">
      <c r="A1877" s="1" t="s">
        <v>30</v>
      </c>
      <c r="B1877" s="1" t="s">
        <v>6047</v>
      </c>
      <c r="C1877" s="1" t="s">
        <v>6048</v>
      </c>
      <c r="D1877" s="1" t="s">
        <v>1865</v>
      </c>
      <c r="G1877" s="1" t="s">
        <v>6049</v>
      </c>
    </row>
    <row r="1878" spans="1:7" x14ac:dyDescent="0.3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x14ac:dyDescent="0.3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G1879" s="1" t="s">
        <v>6057</v>
      </c>
    </row>
    <row r="1880" spans="1:7" x14ac:dyDescent="0.3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x14ac:dyDescent="0.3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G1881" s="1" t="s">
        <v>6066</v>
      </c>
    </row>
    <row r="1882" spans="1:7" x14ac:dyDescent="0.3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x14ac:dyDescent="0.3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G1883" s="1" t="s">
        <v>6075</v>
      </c>
    </row>
    <row r="1884" spans="1:7" x14ac:dyDescent="0.3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G1884" s="1" t="s">
        <v>6079</v>
      </c>
    </row>
    <row r="1885" spans="1:7" x14ac:dyDescent="0.3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</row>
    <row r="1886" spans="1:7" x14ac:dyDescent="0.3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x14ac:dyDescent="0.3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G1887" s="1" t="s">
        <v>6089</v>
      </c>
    </row>
    <row r="1888" spans="1:7" x14ac:dyDescent="0.3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G1888" s="1" t="s">
        <v>6093</v>
      </c>
    </row>
    <row r="1889" spans="1:7" x14ac:dyDescent="0.3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x14ac:dyDescent="0.3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x14ac:dyDescent="0.3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x14ac:dyDescent="0.3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x14ac:dyDescent="0.3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x14ac:dyDescent="0.3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x14ac:dyDescent="0.3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x14ac:dyDescent="0.3">
      <c r="A1896" s="1" t="s">
        <v>89</v>
      </c>
      <c r="B1896" s="1" t="s">
        <v>6121</v>
      </c>
      <c r="D1896" s="1" t="s">
        <v>6051</v>
      </c>
      <c r="E1896" s="1" t="s">
        <v>6051</v>
      </c>
    </row>
    <row r="1897" spans="1:7" x14ac:dyDescent="0.3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x14ac:dyDescent="0.3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x14ac:dyDescent="0.3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x14ac:dyDescent="0.3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x14ac:dyDescent="0.3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x14ac:dyDescent="0.3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x14ac:dyDescent="0.3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G1903" s="1" t="s">
        <v>6151</v>
      </c>
    </row>
    <row r="1904" spans="1:7" x14ac:dyDescent="0.3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</row>
    <row r="1905" spans="1:7" x14ac:dyDescent="0.3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x14ac:dyDescent="0.3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x14ac:dyDescent="0.3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G1907" s="1" t="s">
        <v>6163</v>
      </c>
    </row>
    <row r="1908" spans="1:7" x14ac:dyDescent="0.3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x14ac:dyDescent="0.3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x14ac:dyDescent="0.3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x14ac:dyDescent="0.3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x14ac:dyDescent="0.3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x14ac:dyDescent="0.3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x14ac:dyDescent="0.3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x14ac:dyDescent="0.3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x14ac:dyDescent="0.3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G1916" s="1" t="s">
        <v>6195</v>
      </c>
    </row>
    <row r="1917" spans="1:7" x14ac:dyDescent="0.3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x14ac:dyDescent="0.3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x14ac:dyDescent="0.3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x14ac:dyDescent="0.3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G1920" s="1" t="s">
        <v>6209</v>
      </c>
    </row>
    <row r="1921" spans="1:7" x14ac:dyDescent="0.3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G1921" s="1" t="s">
        <v>6212</v>
      </c>
    </row>
    <row r="1922" spans="1:7" x14ac:dyDescent="0.3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G1922" s="1" t="s">
        <v>6215</v>
      </c>
    </row>
    <row r="1923" spans="1:7" x14ac:dyDescent="0.3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</row>
    <row r="1924" spans="1:7" x14ac:dyDescent="0.3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</row>
    <row r="1925" spans="1:7" x14ac:dyDescent="0.3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</row>
    <row r="1926" spans="1:7" x14ac:dyDescent="0.3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G1926" s="1" t="s">
        <v>6209</v>
      </c>
    </row>
    <row r="1927" spans="1:7" x14ac:dyDescent="0.3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x14ac:dyDescent="0.3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</row>
    <row r="1929" spans="1:7" x14ac:dyDescent="0.3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</row>
    <row r="1930" spans="1:7" x14ac:dyDescent="0.3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G1930" s="1" t="s">
        <v>6116</v>
      </c>
    </row>
    <row r="1931" spans="1:7" x14ac:dyDescent="0.3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G1931" s="1" t="s">
        <v>6237</v>
      </c>
    </row>
    <row r="1932" spans="1:7" x14ac:dyDescent="0.3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G1932" s="1" t="s">
        <v>6240</v>
      </c>
    </row>
    <row r="1933" spans="1:7" x14ac:dyDescent="0.3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x14ac:dyDescent="0.3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G1934" s="1" t="s">
        <v>6247</v>
      </c>
    </row>
    <row r="1935" spans="1:7" x14ac:dyDescent="0.3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</row>
    <row r="1936" spans="1:7" x14ac:dyDescent="0.3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G1936" s="1" t="s">
        <v>6252</v>
      </c>
    </row>
    <row r="1937" spans="1:7" x14ac:dyDescent="0.3">
      <c r="A1937" s="1" t="s">
        <v>13</v>
      </c>
      <c r="B1937" s="1" t="s">
        <v>6253</v>
      </c>
      <c r="D1937" s="1" t="s">
        <v>6051</v>
      </c>
      <c r="E1937" s="1" t="s">
        <v>6065</v>
      </c>
      <c r="G1937" s="1" t="s">
        <v>6254</v>
      </c>
    </row>
    <row r="1938" spans="1:7" x14ac:dyDescent="0.3">
      <c r="A1938" s="1" t="s">
        <v>13</v>
      </c>
      <c r="B1938" s="1" t="s">
        <v>6253</v>
      </c>
      <c r="D1938" s="1" t="s">
        <v>6051</v>
      </c>
      <c r="E1938" s="1" t="s">
        <v>6065</v>
      </c>
      <c r="G1938" s="1" t="s">
        <v>6254</v>
      </c>
    </row>
    <row r="1939" spans="1:7" x14ac:dyDescent="0.3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G1939" s="1" t="s">
        <v>6257</v>
      </c>
    </row>
    <row r="1940" spans="1:7" x14ac:dyDescent="0.3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x14ac:dyDescent="0.3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x14ac:dyDescent="0.3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x14ac:dyDescent="0.3">
      <c r="A1943" s="1" t="s">
        <v>30</v>
      </c>
      <c r="B1943" s="1" t="s">
        <v>6271</v>
      </c>
      <c r="C1943" s="1" t="s">
        <v>6272</v>
      </c>
      <c r="D1943" s="1" t="s">
        <v>6264</v>
      </c>
      <c r="F1943" s="1" t="s">
        <v>6273</v>
      </c>
      <c r="G1943" s="1" t="s">
        <v>6274</v>
      </c>
    </row>
    <row r="1944" spans="1:7" x14ac:dyDescent="0.3">
      <c r="A1944" s="1" t="s">
        <v>30</v>
      </c>
      <c r="B1944" s="1" t="s">
        <v>6275</v>
      </c>
      <c r="C1944" s="1" t="s">
        <v>6276</v>
      </c>
      <c r="D1944" s="1" t="s">
        <v>6264</v>
      </c>
      <c r="G1944" s="1" t="s">
        <v>6277</v>
      </c>
    </row>
    <row r="1945" spans="1:7" x14ac:dyDescent="0.3">
      <c r="A1945" s="1" t="s">
        <v>30</v>
      </c>
      <c r="B1945" s="1" t="s">
        <v>6278</v>
      </c>
      <c r="C1945" s="1" t="s">
        <v>6279</v>
      </c>
      <c r="D1945" s="1" t="s">
        <v>6264</v>
      </c>
      <c r="G1945" s="1" t="s">
        <v>6280</v>
      </c>
    </row>
    <row r="1946" spans="1:7" x14ac:dyDescent="0.3">
      <c r="A1946" s="1" t="s">
        <v>36</v>
      </c>
      <c r="B1946" s="1" t="s">
        <v>6281</v>
      </c>
      <c r="C1946" s="1" t="s">
        <v>6282</v>
      </c>
      <c r="D1946" s="1" t="s">
        <v>6264</v>
      </c>
      <c r="F1946" s="1" t="s">
        <v>6283</v>
      </c>
      <c r="G1946" s="1" t="s">
        <v>6284</v>
      </c>
    </row>
    <row r="1947" spans="1:7" x14ac:dyDescent="0.3">
      <c r="A1947" s="1" t="s">
        <v>30</v>
      </c>
      <c r="B1947" s="1" t="s">
        <v>6285</v>
      </c>
      <c r="C1947" s="1" t="s">
        <v>6286</v>
      </c>
      <c r="D1947" s="1" t="s">
        <v>6264</v>
      </c>
      <c r="F1947" s="1" t="s">
        <v>6287</v>
      </c>
      <c r="G1947" s="1" t="s">
        <v>6288</v>
      </c>
    </row>
    <row r="1948" spans="1:7" x14ac:dyDescent="0.3">
      <c r="A1948" s="1" t="s">
        <v>13</v>
      </c>
      <c r="B1948" s="1" t="s">
        <v>6289</v>
      </c>
      <c r="C1948" s="1" t="s">
        <v>6286</v>
      </c>
      <c r="D1948" s="1" t="s">
        <v>6264</v>
      </c>
      <c r="F1948" s="1" t="s">
        <v>6287</v>
      </c>
      <c r="G1948" s="1" t="s">
        <v>6288</v>
      </c>
    </row>
    <row r="1949" spans="1:7" x14ac:dyDescent="0.3">
      <c r="A1949" s="1" t="s">
        <v>21</v>
      </c>
      <c r="B1949" s="1" t="s">
        <v>6290</v>
      </c>
      <c r="C1949" s="1" t="s">
        <v>6291</v>
      </c>
      <c r="D1949" s="1" t="s">
        <v>6292</v>
      </c>
      <c r="F1949" s="1" t="s">
        <v>6293</v>
      </c>
      <c r="G1949" s="1" t="s">
        <v>6294</v>
      </c>
    </row>
    <row r="1950" spans="1:7" x14ac:dyDescent="0.3">
      <c r="A1950" s="1" t="s">
        <v>21</v>
      </c>
      <c r="B1950" s="1" t="s">
        <v>6295</v>
      </c>
      <c r="C1950" s="1" t="s">
        <v>6296</v>
      </c>
      <c r="D1950" s="1" t="s">
        <v>6292</v>
      </c>
      <c r="F1950" s="1" t="s">
        <v>6297</v>
      </c>
      <c r="G1950" s="1" t="s">
        <v>6298</v>
      </c>
    </row>
    <row r="1951" spans="1:7" x14ac:dyDescent="0.3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x14ac:dyDescent="0.3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G1952" s="1" t="s">
        <v>6305</v>
      </c>
    </row>
    <row r="1953" spans="1:7" x14ac:dyDescent="0.3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G1953" s="1" t="s">
        <v>6308</v>
      </c>
    </row>
    <row r="1954" spans="1:7" x14ac:dyDescent="0.3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G1954" s="1" t="s">
        <v>6311</v>
      </c>
    </row>
    <row r="1955" spans="1:7" x14ac:dyDescent="0.3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x14ac:dyDescent="0.3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x14ac:dyDescent="0.3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G1957" s="1" t="s">
        <v>6322</v>
      </c>
    </row>
    <row r="1958" spans="1:7" x14ac:dyDescent="0.3">
      <c r="A1958" s="1" t="s">
        <v>30</v>
      </c>
      <c r="B1958" s="1" t="s">
        <v>6323</v>
      </c>
      <c r="D1958" s="1" t="s">
        <v>6292</v>
      </c>
    </row>
    <row r="1959" spans="1:7" x14ac:dyDescent="0.3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x14ac:dyDescent="0.3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</row>
    <row r="1961" spans="1:7" x14ac:dyDescent="0.3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</row>
    <row r="1962" spans="1:7" x14ac:dyDescent="0.3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x14ac:dyDescent="0.3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G1963" s="1" t="s">
        <v>6337</v>
      </c>
    </row>
    <row r="1964" spans="1:7" x14ac:dyDescent="0.3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G1964" s="1" t="s">
        <v>6340</v>
      </c>
    </row>
    <row r="1965" spans="1:7" x14ac:dyDescent="0.3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G1965" s="1" t="s">
        <v>6343</v>
      </c>
    </row>
    <row r="1966" spans="1:7" x14ac:dyDescent="0.3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x14ac:dyDescent="0.3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G1967" s="1" t="s">
        <v>6351</v>
      </c>
    </row>
    <row r="1968" spans="1:7" x14ac:dyDescent="0.3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x14ac:dyDescent="0.3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G1969" s="1" t="s">
        <v>6351</v>
      </c>
    </row>
    <row r="1970" spans="1:7" x14ac:dyDescent="0.3">
      <c r="A1970" s="1" t="s">
        <v>89</v>
      </c>
      <c r="B1970" s="1" t="s">
        <v>6358</v>
      </c>
      <c r="D1970" s="1" t="s">
        <v>6359</v>
      </c>
      <c r="E1970" s="1" t="s">
        <v>6359</v>
      </c>
    </row>
    <row r="1971" spans="1:7" x14ac:dyDescent="0.3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x14ac:dyDescent="0.3">
      <c r="A1972" s="1" t="s">
        <v>36</v>
      </c>
      <c r="B1972" s="1" t="s">
        <v>6365</v>
      </c>
      <c r="C1972" s="1" t="s">
        <v>6366</v>
      </c>
      <c r="D1972" s="1" t="s">
        <v>6359</v>
      </c>
      <c r="G1972" s="1" t="s">
        <v>6367</v>
      </c>
    </row>
    <row r="1973" spans="1:7" x14ac:dyDescent="0.3">
      <c r="A1973" s="1" t="s">
        <v>13</v>
      </c>
      <c r="B1973" s="1" t="s">
        <v>6368</v>
      </c>
      <c r="C1973" s="1" t="s">
        <v>6369</v>
      </c>
      <c r="D1973" s="1" t="s">
        <v>6359</v>
      </c>
      <c r="G1973" s="1" t="s">
        <v>6370</v>
      </c>
    </row>
    <row r="1974" spans="1:7" x14ac:dyDescent="0.3">
      <c r="A1974" s="1" t="s">
        <v>30</v>
      </c>
      <c r="B1974" s="1" t="s">
        <v>6371</v>
      </c>
      <c r="C1974" s="1" t="s">
        <v>6372</v>
      </c>
      <c r="D1974" s="1" t="s">
        <v>6373</v>
      </c>
      <c r="G1974" s="1" t="s">
        <v>6374</v>
      </c>
    </row>
    <row r="1975" spans="1:7" x14ac:dyDescent="0.3">
      <c r="A1975" s="1" t="s">
        <v>30</v>
      </c>
      <c r="B1975" s="1" t="s">
        <v>6375</v>
      </c>
      <c r="C1975" s="1" t="s">
        <v>6376</v>
      </c>
      <c r="D1975" s="1" t="s">
        <v>6373</v>
      </c>
      <c r="G1975" s="1" t="s">
        <v>6377</v>
      </c>
    </row>
    <row r="1976" spans="1:7" x14ac:dyDescent="0.3">
      <c r="A1976" s="1" t="s">
        <v>30</v>
      </c>
      <c r="B1976" s="1" t="s">
        <v>6378</v>
      </c>
      <c r="C1976" s="1" t="s">
        <v>6379</v>
      </c>
      <c r="D1976" s="1" t="s">
        <v>6373</v>
      </c>
    </row>
    <row r="1977" spans="1:7" x14ac:dyDescent="0.3">
      <c r="A1977" s="1" t="s">
        <v>30</v>
      </c>
      <c r="B1977" s="1" t="s">
        <v>6380</v>
      </c>
      <c r="C1977" s="1" t="s">
        <v>6381</v>
      </c>
      <c r="D1977" s="1" t="s">
        <v>6373</v>
      </c>
      <c r="F1977" s="1" t="s">
        <v>6382</v>
      </c>
      <c r="G1977" s="1" t="s">
        <v>6383</v>
      </c>
    </row>
    <row r="1978" spans="1:7" x14ac:dyDescent="0.3">
      <c r="A1978" s="1" t="s">
        <v>7</v>
      </c>
      <c r="B1978" s="1" t="s">
        <v>6384</v>
      </c>
      <c r="C1978" s="1" t="s">
        <v>6385</v>
      </c>
      <c r="D1978" s="1" t="s">
        <v>6373</v>
      </c>
      <c r="F1978" s="1" t="s">
        <v>6386</v>
      </c>
      <c r="G1978" s="1" t="s">
        <v>6387</v>
      </c>
    </row>
    <row r="1979" spans="1:7" x14ac:dyDescent="0.3">
      <c r="A1979" s="1" t="s">
        <v>36</v>
      </c>
      <c r="B1979" s="1" t="s">
        <v>6388</v>
      </c>
      <c r="C1979" s="1" t="s">
        <v>6389</v>
      </c>
      <c r="D1979" s="1" t="s">
        <v>6373</v>
      </c>
      <c r="F1979" s="1" t="s">
        <v>6390</v>
      </c>
      <c r="G1979" s="1" t="s">
        <v>6391</v>
      </c>
    </row>
    <row r="1980" spans="1:7" x14ac:dyDescent="0.3">
      <c r="A1980" s="1" t="s">
        <v>30</v>
      </c>
      <c r="B1980" s="1" t="s">
        <v>6392</v>
      </c>
      <c r="C1980" s="1" t="s">
        <v>6393</v>
      </c>
      <c r="D1980" s="1" t="s">
        <v>6373</v>
      </c>
      <c r="F1980" s="1" t="s">
        <v>6394</v>
      </c>
      <c r="G1980" s="1" t="s">
        <v>6395</v>
      </c>
    </row>
    <row r="1981" spans="1:7" x14ac:dyDescent="0.3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G1981" s="1" t="s">
        <v>6398</v>
      </c>
    </row>
    <row r="1982" spans="1:7" x14ac:dyDescent="0.3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x14ac:dyDescent="0.3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x14ac:dyDescent="0.3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G1984" s="1" t="s">
        <v>6408</v>
      </c>
    </row>
    <row r="1985" spans="1:7" x14ac:dyDescent="0.3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G1985" s="1" t="s">
        <v>6411</v>
      </c>
    </row>
    <row r="1986" spans="1:7" x14ac:dyDescent="0.3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</row>
    <row r="1987" spans="1:7" x14ac:dyDescent="0.3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x14ac:dyDescent="0.3">
      <c r="A1988" s="1" t="s">
        <v>30</v>
      </c>
      <c r="B1988" s="1" t="s">
        <v>6418</v>
      </c>
      <c r="C1988" s="1" t="s">
        <v>6419</v>
      </c>
      <c r="D1988" s="1" t="s">
        <v>6373</v>
      </c>
      <c r="G1988" s="1" t="s">
        <v>6420</v>
      </c>
    </row>
    <row r="1989" spans="1:7" x14ac:dyDescent="0.3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x14ac:dyDescent="0.3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x14ac:dyDescent="0.3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x14ac:dyDescent="0.3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x14ac:dyDescent="0.3">
      <c r="A1993" s="1" t="s">
        <v>30</v>
      </c>
      <c r="B1993" s="1" t="s">
        <v>6439</v>
      </c>
      <c r="C1993" s="1" t="s">
        <v>6440</v>
      </c>
      <c r="D1993" s="1" t="s">
        <v>6373</v>
      </c>
      <c r="G1993" s="1" t="s">
        <v>6441</v>
      </c>
    </row>
    <row r="1994" spans="1:7" x14ac:dyDescent="0.3">
      <c r="A1994" s="1" t="s">
        <v>13</v>
      </c>
      <c r="B1994" s="1" t="s">
        <v>6442</v>
      </c>
      <c r="C1994" s="1" t="s">
        <v>6443</v>
      </c>
      <c r="D1994" s="1" t="s">
        <v>6373</v>
      </c>
      <c r="G1994" s="1" t="s">
        <v>6444</v>
      </c>
    </row>
    <row r="1995" spans="1:7" x14ac:dyDescent="0.3">
      <c r="A1995" s="1" t="s">
        <v>30</v>
      </c>
      <c r="B1995" s="1" t="s">
        <v>6445</v>
      </c>
      <c r="C1995" s="1" t="s">
        <v>6446</v>
      </c>
      <c r="D1995" s="1" t="s">
        <v>6373</v>
      </c>
      <c r="G1995" s="1" t="s">
        <v>6447</v>
      </c>
    </row>
    <row r="1996" spans="1:7" x14ac:dyDescent="0.3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G1996" s="1" t="s">
        <v>6451</v>
      </c>
    </row>
    <row r="1997" spans="1:7" x14ac:dyDescent="0.3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x14ac:dyDescent="0.3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G1998" s="1" t="s">
        <v>6459</v>
      </c>
    </row>
    <row r="1999" spans="1:7" x14ac:dyDescent="0.3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x14ac:dyDescent="0.3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G2000" s="1" t="s">
        <v>6466</v>
      </c>
    </row>
    <row r="2001" spans="1:7" x14ac:dyDescent="0.3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x14ac:dyDescent="0.3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x14ac:dyDescent="0.3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x14ac:dyDescent="0.3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x14ac:dyDescent="0.3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x14ac:dyDescent="0.3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x14ac:dyDescent="0.3">
      <c r="A2007" s="1" t="s">
        <v>13</v>
      </c>
      <c r="B2007" s="1" t="s">
        <v>6490</v>
      </c>
      <c r="C2007" s="1" t="s">
        <v>6491</v>
      </c>
      <c r="D2007" s="1" t="s">
        <v>6469</v>
      </c>
      <c r="G2007" s="1" t="s">
        <v>6492</v>
      </c>
    </row>
    <row r="2008" spans="1:7" x14ac:dyDescent="0.3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G2008" s="1" t="s">
        <v>6496</v>
      </c>
    </row>
    <row r="2009" spans="1:7" x14ac:dyDescent="0.3">
      <c r="A2009" s="1" t="s">
        <v>30</v>
      </c>
      <c r="B2009" s="1" t="s">
        <v>6497</v>
      </c>
      <c r="C2009" s="1" t="s">
        <v>6498</v>
      </c>
      <c r="D2009" s="1" t="s">
        <v>6499</v>
      </c>
      <c r="F2009" s="1" t="s">
        <v>6500</v>
      </c>
      <c r="G2009" s="1" t="s">
        <v>6501</v>
      </c>
    </row>
    <row r="2010" spans="1:7" x14ac:dyDescent="0.3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G2010" s="1" t="s">
        <v>6504</v>
      </c>
    </row>
    <row r="2011" spans="1:7" x14ac:dyDescent="0.3">
      <c r="A2011" s="1" t="s">
        <v>30</v>
      </c>
      <c r="B2011" s="1" t="s">
        <v>6505</v>
      </c>
      <c r="C2011" s="1" t="s">
        <v>6506</v>
      </c>
      <c r="D2011" s="1" t="s">
        <v>6499</v>
      </c>
      <c r="G2011" s="1" t="s">
        <v>6507</v>
      </c>
    </row>
    <row r="2012" spans="1:7" x14ac:dyDescent="0.3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x14ac:dyDescent="0.3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G2013" s="1" t="s">
        <v>6515</v>
      </c>
    </row>
    <row r="2014" spans="1:7" x14ac:dyDescent="0.3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x14ac:dyDescent="0.3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x14ac:dyDescent="0.3">
      <c r="A2016" s="1" t="s">
        <v>83</v>
      </c>
      <c r="B2016" s="1" t="s">
        <v>6525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 x14ac:dyDescent="0.3">
      <c r="A2017" s="1" t="s">
        <v>30</v>
      </c>
      <c r="B2017" s="1" t="s">
        <v>6529</v>
      </c>
      <c r="C2017" s="1" t="s">
        <v>6530</v>
      </c>
      <c r="D2017" s="1" t="s">
        <v>6522</v>
      </c>
      <c r="F2017" s="1" t="s">
        <v>6527</v>
      </c>
      <c r="G2017" s="1" t="s">
        <v>6528</v>
      </c>
    </row>
    <row r="2018" spans="1:7" x14ac:dyDescent="0.3">
      <c r="A2018" s="1" t="s">
        <v>7</v>
      </c>
      <c r="B2018" s="1" t="s">
        <v>6531</v>
      </c>
      <c r="C2018" s="1" t="s">
        <v>6532</v>
      </c>
      <c r="D2018" s="1" t="s">
        <v>6522</v>
      </c>
      <c r="F2018" s="1" t="s">
        <v>6533</v>
      </c>
      <c r="G2018" s="1" t="s">
        <v>6534</v>
      </c>
    </row>
    <row r="2019" spans="1:7" x14ac:dyDescent="0.3">
      <c r="A2019" s="1" t="s">
        <v>83</v>
      </c>
      <c r="B2019" s="1" t="s">
        <v>6535</v>
      </c>
      <c r="C2019" s="1" t="s">
        <v>6526</v>
      </c>
      <c r="D2019" s="1" t="s">
        <v>6522</v>
      </c>
      <c r="F2019" s="1" t="s">
        <v>6527</v>
      </c>
      <c r="G2019" s="1" t="s">
        <v>6528</v>
      </c>
    </row>
    <row r="2020" spans="1:7" x14ac:dyDescent="0.3">
      <c r="A2020" s="1" t="s">
        <v>7</v>
      </c>
      <c r="B2020" s="1" t="s">
        <v>6536</v>
      </c>
      <c r="C2020" s="1" t="s">
        <v>6537</v>
      </c>
      <c r="D2020" s="1" t="s">
        <v>6538</v>
      </c>
      <c r="F2020" s="1" t="s">
        <v>6539</v>
      </c>
      <c r="G2020" s="1" t="s">
        <v>6540</v>
      </c>
    </row>
    <row r="2021" spans="1:7" x14ac:dyDescent="0.3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G2021" s="1" t="s">
        <v>6544</v>
      </c>
    </row>
    <row r="2022" spans="1:7" x14ac:dyDescent="0.3">
      <c r="A2022" s="1" t="s">
        <v>36</v>
      </c>
      <c r="B2022" s="1" t="s">
        <v>6545</v>
      </c>
      <c r="C2022" s="1" t="s">
        <v>6546</v>
      </c>
      <c r="D2022" s="1" t="s">
        <v>6538</v>
      </c>
      <c r="G2022" s="1" t="s">
        <v>6547</v>
      </c>
    </row>
    <row r="2023" spans="1:7" x14ac:dyDescent="0.3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x14ac:dyDescent="0.3">
      <c r="A2024" s="1" t="s">
        <v>30</v>
      </c>
      <c r="B2024" s="1" t="s">
        <v>6552</v>
      </c>
      <c r="C2024" s="1" t="s">
        <v>6553</v>
      </c>
      <c r="D2024" s="1" t="s">
        <v>6538</v>
      </c>
      <c r="F2024" s="1" t="s">
        <v>6554</v>
      </c>
      <c r="G2024" s="1" t="s">
        <v>6555</v>
      </c>
    </row>
    <row r="2025" spans="1:7" x14ac:dyDescent="0.3">
      <c r="A2025" s="1" t="s">
        <v>13</v>
      </c>
      <c r="B2025" s="1" t="s">
        <v>6556</v>
      </c>
      <c r="C2025" s="1" t="s">
        <v>6557</v>
      </c>
      <c r="D2025" s="1" t="s">
        <v>6538</v>
      </c>
    </row>
    <row r="2026" spans="1:7" x14ac:dyDescent="0.3">
      <c r="A2026" s="1" t="s">
        <v>13</v>
      </c>
      <c r="B2026" s="1" t="s">
        <v>6558</v>
      </c>
      <c r="C2026" s="1" t="s">
        <v>6559</v>
      </c>
      <c r="D2026" s="1" t="s">
        <v>6538</v>
      </c>
    </row>
    <row r="2027" spans="1:7" x14ac:dyDescent="0.3">
      <c r="A2027" s="1" t="s">
        <v>13</v>
      </c>
      <c r="B2027" s="1" t="s">
        <v>6560</v>
      </c>
      <c r="C2027" s="1" t="s">
        <v>6561</v>
      </c>
      <c r="D2027" s="1" t="s">
        <v>6538</v>
      </c>
      <c r="G2027" s="1" t="s">
        <v>6562</v>
      </c>
    </row>
    <row r="2028" spans="1:7" x14ac:dyDescent="0.3">
      <c r="A2028" s="1" t="s">
        <v>13</v>
      </c>
      <c r="B2028" s="1" t="s">
        <v>6563</v>
      </c>
      <c r="C2028" s="1" t="s">
        <v>6564</v>
      </c>
      <c r="D2028" s="1" t="s">
        <v>6538</v>
      </c>
      <c r="G2028" s="1" t="s">
        <v>6565</v>
      </c>
    </row>
    <row r="2029" spans="1:7" x14ac:dyDescent="0.3">
      <c r="A2029" s="1" t="s">
        <v>36</v>
      </c>
      <c r="B2029" s="1" t="s">
        <v>6566</v>
      </c>
      <c r="C2029" s="1" t="s">
        <v>6567</v>
      </c>
      <c r="D2029" s="1" t="s">
        <v>6538</v>
      </c>
      <c r="G2029" s="1" t="s">
        <v>6568</v>
      </c>
    </row>
    <row r="2030" spans="1:7" x14ac:dyDescent="0.3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x14ac:dyDescent="0.3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x14ac:dyDescent="0.3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x14ac:dyDescent="0.3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G2033" s="1" t="s">
        <v>6583</v>
      </c>
    </row>
    <row r="2034" spans="1:7" x14ac:dyDescent="0.3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G2034" s="1" t="s">
        <v>6586</v>
      </c>
    </row>
    <row r="2035" spans="1:7" x14ac:dyDescent="0.3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x14ac:dyDescent="0.3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</row>
    <row r="2037" spans="1:7" x14ac:dyDescent="0.3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x14ac:dyDescent="0.3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x14ac:dyDescent="0.3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G2039" s="1" t="s">
        <v>6601</v>
      </c>
    </row>
    <row r="2040" spans="1:7" x14ac:dyDescent="0.3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x14ac:dyDescent="0.3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x14ac:dyDescent="0.3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x14ac:dyDescent="0.3">
      <c r="A2043" s="1" t="s">
        <v>7</v>
      </c>
      <c r="B2043" s="1" t="s">
        <v>6613</v>
      </c>
      <c r="D2043" s="1" t="s">
        <v>6538</v>
      </c>
      <c r="E2043" s="1" t="s">
        <v>6614</v>
      </c>
    </row>
    <row r="2044" spans="1:7" x14ac:dyDescent="0.3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x14ac:dyDescent="0.3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x14ac:dyDescent="0.3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G2046" s="1" t="s">
        <v>6625</v>
      </c>
    </row>
    <row r="2047" spans="1:7" x14ac:dyDescent="0.3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</row>
    <row r="2048" spans="1:7" x14ac:dyDescent="0.3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x14ac:dyDescent="0.3">
      <c r="A2049" s="1" t="s">
        <v>13</v>
      </c>
      <c r="B2049" s="1" t="s">
        <v>6632</v>
      </c>
      <c r="C2049" s="1" t="s">
        <v>6633</v>
      </c>
      <c r="D2049" s="1" t="s">
        <v>6538</v>
      </c>
      <c r="G2049" s="1" t="s">
        <v>6634</v>
      </c>
    </row>
    <row r="2050" spans="1:7" x14ac:dyDescent="0.3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x14ac:dyDescent="0.3">
      <c r="A2051" s="1" t="s">
        <v>13</v>
      </c>
      <c r="B2051" s="1" t="s">
        <v>6639</v>
      </c>
      <c r="C2051" s="1" t="s">
        <v>6640</v>
      </c>
      <c r="D2051" s="1" t="s">
        <v>6538</v>
      </c>
      <c r="G2051" s="1" t="s">
        <v>6641</v>
      </c>
    </row>
    <row r="2052" spans="1:7" x14ac:dyDescent="0.3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x14ac:dyDescent="0.3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x14ac:dyDescent="0.3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G2054" s="1" t="s">
        <v>6651</v>
      </c>
    </row>
    <row r="2055" spans="1:7" x14ac:dyDescent="0.3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G2055" s="1" t="s">
        <v>6655</v>
      </c>
    </row>
    <row r="2056" spans="1:7" x14ac:dyDescent="0.3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x14ac:dyDescent="0.3">
      <c r="A2057" s="1" t="s">
        <v>30</v>
      </c>
      <c r="B2057" s="1" t="s">
        <v>6660</v>
      </c>
      <c r="C2057" s="1" t="s">
        <v>6661</v>
      </c>
      <c r="D2057" s="1" t="s">
        <v>6654</v>
      </c>
      <c r="G2057" s="1" t="s">
        <v>6662</v>
      </c>
    </row>
    <row r="2058" spans="1:7" x14ac:dyDescent="0.3">
      <c r="A2058" s="1" t="s">
        <v>30</v>
      </c>
      <c r="B2058" s="1" t="s">
        <v>6663</v>
      </c>
      <c r="C2058" s="1" t="s">
        <v>6664</v>
      </c>
      <c r="D2058" s="1" t="s">
        <v>6654</v>
      </c>
      <c r="G2058" s="1" t="s">
        <v>6665</v>
      </c>
    </row>
    <row r="2059" spans="1:7" x14ac:dyDescent="0.3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G2059" s="1" t="s">
        <v>6668</v>
      </c>
    </row>
    <row r="2060" spans="1:7" x14ac:dyDescent="0.3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G2060" s="1" t="s">
        <v>6671</v>
      </c>
    </row>
    <row r="2061" spans="1:7" x14ac:dyDescent="0.3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G2061" s="1" t="s">
        <v>6674</v>
      </c>
    </row>
    <row r="2062" spans="1:7" x14ac:dyDescent="0.3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G2062" s="1" t="s">
        <v>6677</v>
      </c>
    </row>
    <row r="2063" spans="1:7" x14ac:dyDescent="0.3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G2063" s="1" t="s">
        <v>6680</v>
      </c>
    </row>
    <row r="2064" spans="1:7" x14ac:dyDescent="0.3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G2064" s="1" t="s">
        <v>6682</v>
      </c>
    </row>
    <row r="2065" spans="1:7" x14ac:dyDescent="0.3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x14ac:dyDescent="0.3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x14ac:dyDescent="0.3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x14ac:dyDescent="0.3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G2068" s="1" t="s">
        <v>6697</v>
      </c>
    </row>
    <row r="2069" spans="1:7" x14ac:dyDescent="0.3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x14ac:dyDescent="0.3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x14ac:dyDescent="0.3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x14ac:dyDescent="0.3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G2072" s="1" t="s">
        <v>6709</v>
      </c>
    </row>
    <row r="2073" spans="1:7" x14ac:dyDescent="0.3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x14ac:dyDescent="0.3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x14ac:dyDescent="0.3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G2075" s="1" t="s">
        <v>6720</v>
      </c>
    </row>
    <row r="2076" spans="1:7" x14ac:dyDescent="0.3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x14ac:dyDescent="0.3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x14ac:dyDescent="0.3">
      <c r="A2078" s="1" t="s">
        <v>89</v>
      </c>
      <c r="B2078" s="1" t="s">
        <v>6729</v>
      </c>
      <c r="D2078" s="1" t="s">
        <v>6654</v>
      </c>
      <c r="E2078" s="1" t="s">
        <v>6654</v>
      </c>
      <c r="G2078" s="1" t="s">
        <v>6730</v>
      </c>
    </row>
    <row r="2079" spans="1:7" x14ac:dyDescent="0.3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x14ac:dyDescent="0.3">
      <c r="A2080" s="1" t="s">
        <v>83</v>
      </c>
      <c r="B2080" s="1" t="s">
        <v>6735</v>
      </c>
      <c r="C2080" s="1" t="s">
        <v>6736</v>
      </c>
      <c r="D2080" s="1" t="s">
        <v>6654</v>
      </c>
      <c r="F2080" s="1" t="s">
        <v>6737</v>
      </c>
      <c r="G2080" s="1" t="s">
        <v>6738</v>
      </c>
    </row>
    <row r="2081" spans="1:7" x14ac:dyDescent="0.3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x14ac:dyDescent="0.3">
      <c r="A2082" s="1" t="s">
        <v>30</v>
      </c>
      <c r="B2082" s="1" t="s">
        <v>6743</v>
      </c>
      <c r="C2082" s="1" t="s">
        <v>6744</v>
      </c>
      <c r="D2082" s="1" t="s">
        <v>6654</v>
      </c>
      <c r="F2082" s="1" t="s">
        <v>6745</v>
      </c>
      <c r="G2082" s="1" t="s">
        <v>6746</v>
      </c>
    </row>
    <row r="2083" spans="1:7" x14ac:dyDescent="0.3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x14ac:dyDescent="0.3">
      <c r="A2084" s="1" t="s">
        <v>13</v>
      </c>
      <c r="B2084" s="1" t="s">
        <v>6748</v>
      </c>
      <c r="C2084" s="1" t="s">
        <v>6749</v>
      </c>
      <c r="D2084" s="1" t="s">
        <v>6654</v>
      </c>
      <c r="G2084" s="1" t="s">
        <v>6750</v>
      </c>
    </row>
    <row r="2085" spans="1:7" x14ac:dyDescent="0.3">
      <c r="A2085" s="1" t="s">
        <v>30</v>
      </c>
      <c r="B2085" s="1" t="s">
        <v>6751</v>
      </c>
      <c r="C2085" s="1" t="s">
        <v>6752</v>
      </c>
      <c r="D2085" s="1" t="s">
        <v>6654</v>
      </c>
      <c r="F2085" s="1" t="s">
        <v>6753</v>
      </c>
      <c r="G2085" s="1" t="s">
        <v>6754</v>
      </c>
    </row>
    <row r="2086" spans="1:7" x14ac:dyDescent="0.3">
      <c r="A2086" s="1" t="s">
        <v>30</v>
      </c>
      <c r="B2086" s="1" t="s">
        <v>6755</v>
      </c>
      <c r="C2086" s="1" t="s">
        <v>6756</v>
      </c>
      <c r="D2086" s="1" t="s">
        <v>6654</v>
      </c>
      <c r="F2086" s="1" t="s">
        <v>6757</v>
      </c>
      <c r="G2086" s="1" t="s">
        <v>6758</v>
      </c>
    </row>
    <row r="2087" spans="1:7" x14ac:dyDescent="0.3">
      <c r="A2087" s="1" t="s">
        <v>13</v>
      </c>
      <c r="B2087" s="1" t="s">
        <v>6759</v>
      </c>
      <c r="C2087" s="1" t="s">
        <v>6760</v>
      </c>
      <c r="D2087" s="1" t="s">
        <v>6654</v>
      </c>
      <c r="F2087" s="1" t="s">
        <v>6761</v>
      </c>
      <c r="G2087" s="1" t="s">
        <v>6750</v>
      </c>
    </row>
    <row r="2088" spans="1:7" x14ac:dyDescent="0.3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x14ac:dyDescent="0.3">
      <c r="A2089" s="1" t="s">
        <v>30</v>
      </c>
      <c r="B2089" s="1" t="s">
        <v>6767</v>
      </c>
      <c r="C2089" s="1" t="s">
        <v>6768</v>
      </c>
      <c r="D2089" s="1" t="s">
        <v>6654</v>
      </c>
      <c r="F2089" s="1" t="s">
        <v>6769</v>
      </c>
      <c r="G2089" s="1" t="s">
        <v>6770</v>
      </c>
    </row>
    <row r="2090" spans="1:7" x14ac:dyDescent="0.3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x14ac:dyDescent="0.3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G2091" s="1" t="s">
        <v>6777</v>
      </c>
    </row>
    <row r="2092" spans="1:7" x14ac:dyDescent="0.3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x14ac:dyDescent="0.3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G2093" s="1" t="s">
        <v>6784</v>
      </c>
    </row>
    <row r="2094" spans="1:7" x14ac:dyDescent="0.3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x14ac:dyDescent="0.3">
      <c r="A2095" s="1" t="s">
        <v>30</v>
      </c>
      <c r="B2095" s="1" t="s">
        <v>6790</v>
      </c>
      <c r="C2095" s="1" t="s">
        <v>6791</v>
      </c>
      <c r="D2095" s="1" t="s">
        <v>6792</v>
      </c>
      <c r="F2095" s="1" t="s">
        <v>6793</v>
      </c>
      <c r="G2095" s="1" t="s">
        <v>6794</v>
      </c>
    </row>
    <row r="2096" spans="1:7" x14ac:dyDescent="0.3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G2096" s="1" t="s">
        <v>6798</v>
      </c>
    </row>
    <row r="2097" spans="1:7" x14ac:dyDescent="0.3">
      <c r="A2097" s="1" t="s">
        <v>36</v>
      </c>
      <c r="B2097" s="1" t="s">
        <v>6799</v>
      </c>
      <c r="D2097" s="1" t="s">
        <v>6792</v>
      </c>
      <c r="E2097" s="1" t="s">
        <v>6800</v>
      </c>
      <c r="G2097" s="1" t="s">
        <v>6801</v>
      </c>
    </row>
    <row r="2098" spans="1:7" x14ac:dyDescent="0.3">
      <c r="A2098" s="1" t="s">
        <v>30</v>
      </c>
      <c r="B2098" s="1" t="s">
        <v>645</v>
      </c>
      <c r="C2098" s="1" t="s">
        <v>6802</v>
      </c>
      <c r="D2098" s="1" t="s">
        <v>6792</v>
      </c>
      <c r="G2098" s="1" t="s">
        <v>6803</v>
      </c>
    </row>
    <row r="2099" spans="1:7" x14ac:dyDescent="0.3">
      <c r="A2099" s="1" t="s">
        <v>36</v>
      </c>
      <c r="B2099" s="1" t="s">
        <v>6804</v>
      </c>
      <c r="C2099" s="1" t="s">
        <v>6805</v>
      </c>
      <c r="D2099" s="1" t="s">
        <v>6792</v>
      </c>
      <c r="G2099" s="1" t="s">
        <v>6806</v>
      </c>
    </row>
    <row r="2100" spans="1:7" x14ac:dyDescent="0.3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x14ac:dyDescent="0.3">
      <c r="A2101" s="1" t="s">
        <v>30</v>
      </c>
      <c r="B2101" s="1" t="s">
        <v>6812</v>
      </c>
      <c r="C2101" s="1" t="s">
        <v>6813</v>
      </c>
      <c r="D2101" s="1" t="s">
        <v>6792</v>
      </c>
      <c r="F2101" s="1" t="s">
        <v>6814</v>
      </c>
      <c r="G2101" s="1" t="s">
        <v>6815</v>
      </c>
    </row>
    <row r="2102" spans="1:7" x14ac:dyDescent="0.3">
      <c r="A2102" s="1" t="s">
        <v>30</v>
      </c>
      <c r="B2102" s="1" t="s">
        <v>6816</v>
      </c>
      <c r="C2102" s="1" t="s">
        <v>6817</v>
      </c>
      <c r="D2102" s="1" t="s">
        <v>6792</v>
      </c>
      <c r="G2102" s="1" t="s">
        <v>6818</v>
      </c>
    </row>
    <row r="2103" spans="1:7" x14ac:dyDescent="0.3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x14ac:dyDescent="0.3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G2104" s="1" t="s">
        <v>6826</v>
      </c>
    </row>
    <row r="2105" spans="1:7" x14ac:dyDescent="0.3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x14ac:dyDescent="0.3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x14ac:dyDescent="0.3">
      <c r="A2107" s="1" t="s">
        <v>13</v>
      </c>
      <c r="B2107" s="1" t="s">
        <v>6837</v>
      </c>
      <c r="C2107" s="1" t="s">
        <v>6838</v>
      </c>
      <c r="D2107" s="1" t="s">
        <v>6792</v>
      </c>
      <c r="F2107" s="1" t="s">
        <v>6839</v>
      </c>
      <c r="G2107" s="1" t="s">
        <v>6840</v>
      </c>
    </row>
    <row r="2108" spans="1:7" x14ac:dyDescent="0.3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x14ac:dyDescent="0.3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</row>
    <row r="2110" spans="1:7" x14ac:dyDescent="0.3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x14ac:dyDescent="0.3">
      <c r="A2111" s="1" t="s">
        <v>89</v>
      </c>
      <c r="B2111" s="1" t="s">
        <v>6851</v>
      </c>
      <c r="D2111" s="1" t="s">
        <v>6792</v>
      </c>
      <c r="E2111" s="1" t="s">
        <v>6852</v>
      </c>
    </row>
    <row r="2112" spans="1:7" x14ac:dyDescent="0.3">
      <c r="A2112" s="1" t="s">
        <v>89</v>
      </c>
      <c r="B2112" s="1" t="s">
        <v>6853</v>
      </c>
      <c r="D2112" s="1" t="s">
        <v>6792</v>
      </c>
      <c r="E2112" s="1" t="s">
        <v>6854</v>
      </c>
    </row>
    <row r="2113" spans="1:7" x14ac:dyDescent="0.3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</row>
    <row r="2114" spans="1:7" x14ac:dyDescent="0.3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x14ac:dyDescent="0.3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x14ac:dyDescent="0.3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G2116" s="1" t="s">
        <v>6867</v>
      </c>
    </row>
    <row r="2117" spans="1:7" x14ac:dyDescent="0.3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x14ac:dyDescent="0.3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x14ac:dyDescent="0.3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x14ac:dyDescent="0.3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G2120" s="1" t="s">
        <v>6883</v>
      </c>
    </row>
    <row r="2121" spans="1:7" x14ac:dyDescent="0.3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x14ac:dyDescent="0.3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x14ac:dyDescent="0.3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G2123" s="1" t="s">
        <v>6894</v>
      </c>
    </row>
    <row r="2124" spans="1:7" x14ac:dyDescent="0.3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G2124" s="1" t="s">
        <v>6897</v>
      </c>
    </row>
    <row r="2125" spans="1:7" x14ac:dyDescent="0.3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x14ac:dyDescent="0.3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G2126" s="1" t="s">
        <v>6904</v>
      </c>
    </row>
    <row r="2127" spans="1:7" x14ac:dyDescent="0.3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x14ac:dyDescent="0.3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G2128" s="1" t="s">
        <v>6909</v>
      </c>
    </row>
    <row r="2129" spans="1:7" x14ac:dyDescent="0.3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</row>
    <row r="2130" spans="1:7" x14ac:dyDescent="0.3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x14ac:dyDescent="0.3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x14ac:dyDescent="0.3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x14ac:dyDescent="0.3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G2133" s="1" t="s">
        <v>6926</v>
      </c>
    </row>
    <row r="2134" spans="1:7" x14ac:dyDescent="0.3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x14ac:dyDescent="0.3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x14ac:dyDescent="0.3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 x14ac:dyDescent="0.3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G2137" s="1" t="s">
        <v>6935</v>
      </c>
    </row>
    <row r="2138" spans="1:7" x14ac:dyDescent="0.3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 x14ac:dyDescent="0.3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 x14ac:dyDescent="0.3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x14ac:dyDescent="0.3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 x14ac:dyDescent="0.3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 x14ac:dyDescent="0.3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 x14ac:dyDescent="0.3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 x14ac:dyDescent="0.3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 x14ac:dyDescent="0.3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 x14ac:dyDescent="0.3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 x14ac:dyDescent="0.3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 x14ac:dyDescent="0.3">
      <c r="A2149" s="1" t="s">
        <v>21</v>
      </c>
      <c r="B2149" s="1" t="s">
        <v>6980</v>
      </c>
      <c r="C2149" s="1" t="s">
        <v>6981</v>
      </c>
      <c r="D2149" s="1" t="s">
        <v>6792</v>
      </c>
      <c r="G2149" s="1" t="s">
        <v>6982</v>
      </c>
    </row>
    <row r="2150" spans="1:7" x14ac:dyDescent="0.3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G2150" s="1" t="s">
        <v>6986</v>
      </c>
    </row>
    <row r="2151" spans="1:7" x14ac:dyDescent="0.3">
      <c r="A2151" s="1" t="s">
        <v>7</v>
      </c>
      <c r="B2151" s="1" t="s">
        <v>6987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 x14ac:dyDescent="0.3">
      <c r="A2152" s="1" t="s">
        <v>83</v>
      </c>
      <c r="B2152" s="1" t="s">
        <v>2105</v>
      </c>
      <c r="C2152" s="1" t="s">
        <v>6991</v>
      </c>
      <c r="D2152" s="1" t="s">
        <v>6792</v>
      </c>
      <c r="G2152" s="1" t="s">
        <v>6992</v>
      </c>
    </row>
    <row r="2153" spans="1:7" x14ac:dyDescent="0.3">
      <c r="A2153" s="1" t="s">
        <v>13</v>
      </c>
      <c r="B2153" s="1" t="s">
        <v>6993</v>
      </c>
      <c r="C2153" s="1" t="s">
        <v>6994</v>
      </c>
      <c r="D2153" s="1" t="s">
        <v>6792</v>
      </c>
      <c r="G2153" s="1" t="s">
        <v>6995</v>
      </c>
    </row>
    <row r="2154" spans="1:7" x14ac:dyDescent="0.3">
      <c r="A2154" s="1" t="s">
        <v>13</v>
      </c>
      <c r="B2154" s="1" t="s">
        <v>6996</v>
      </c>
      <c r="C2154" s="1" t="s">
        <v>6997</v>
      </c>
      <c r="D2154" s="1" t="s">
        <v>6792</v>
      </c>
      <c r="G2154" s="1" t="s">
        <v>6998</v>
      </c>
    </row>
    <row r="2155" spans="1:7" x14ac:dyDescent="0.3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G2155" s="1" t="s">
        <v>7001</v>
      </c>
    </row>
    <row r="2156" spans="1:7" x14ac:dyDescent="0.3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G2156" s="1" t="s">
        <v>7004</v>
      </c>
    </row>
    <row r="2157" spans="1:7" x14ac:dyDescent="0.3">
      <c r="A2157" s="1" t="s">
        <v>30</v>
      </c>
      <c r="B2157" s="1" t="s">
        <v>7005</v>
      </c>
      <c r="C2157" s="1" t="s">
        <v>7006</v>
      </c>
      <c r="D2157" s="1" t="s">
        <v>6792</v>
      </c>
      <c r="G2157" s="1" t="s">
        <v>7007</v>
      </c>
    </row>
    <row r="2158" spans="1:7" x14ac:dyDescent="0.3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x14ac:dyDescent="0.3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G2159" s="1" t="s">
        <v>7011</v>
      </c>
    </row>
    <row r="2160" spans="1:7" x14ac:dyDescent="0.3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G2160" s="1" t="s">
        <v>7014</v>
      </c>
    </row>
    <row r="2161" spans="1:7" x14ac:dyDescent="0.3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G2161" s="1" t="s">
        <v>7018</v>
      </c>
    </row>
    <row r="2162" spans="1:7" x14ac:dyDescent="0.3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G2162" s="1" t="s">
        <v>7021</v>
      </c>
    </row>
    <row r="2163" spans="1:7" x14ac:dyDescent="0.3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G2163" s="1" t="s">
        <v>7024</v>
      </c>
    </row>
    <row r="2164" spans="1:7" x14ac:dyDescent="0.3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G2164" s="1" t="s">
        <v>7027</v>
      </c>
    </row>
    <row r="2165" spans="1:7" x14ac:dyDescent="0.3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 x14ac:dyDescent="0.3">
      <c r="A2166" s="1" t="s">
        <v>30</v>
      </c>
      <c r="B2166" s="1" t="s">
        <v>3124</v>
      </c>
      <c r="C2166" s="1" t="s">
        <v>7032</v>
      </c>
      <c r="D2166" s="1" t="s">
        <v>5737</v>
      </c>
      <c r="G2166" s="1" t="s">
        <v>7033</v>
      </c>
    </row>
    <row r="2167" spans="1:7" x14ac:dyDescent="0.3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 x14ac:dyDescent="0.3">
      <c r="A2168" s="1" t="s">
        <v>83</v>
      </c>
      <c r="B2168" s="1" t="s">
        <v>7039</v>
      </c>
      <c r="C2168" s="1" t="s">
        <v>7040</v>
      </c>
      <c r="D2168" s="1" t="s">
        <v>5737</v>
      </c>
      <c r="G2168" s="1" t="s">
        <v>7041</v>
      </c>
    </row>
    <row r="2169" spans="1:7" x14ac:dyDescent="0.3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 x14ac:dyDescent="0.3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 x14ac:dyDescent="0.3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G2171" s="1" t="s">
        <v>7052</v>
      </c>
    </row>
    <row r="2172" spans="1:7" x14ac:dyDescent="0.3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</row>
    <row r="2173" spans="1:7" x14ac:dyDescent="0.3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G2173" s="1" t="s">
        <v>7057</v>
      </c>
    </row>
    <row r="2174" spans="1:7" x14ac:dyDescent="0.3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G2174" s="1" t="s">
        <v>7060</v>
      </c>
    </row>
    <row r="2175" spans="1:7" x14ac:dyDescent="0.3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 x14ac:dyDescent="0.3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 x14ac:dyDescent="0.3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 x14ac:dyDescent="0.3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G2178" s="1" t="s">
        <v>7073</v>
      </c>
    </row>
    <row r="2179" spans="1:7" x14ac:dyDescent="0.3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</row>
    <row r="2180" spans="1:7" x14ac:dyDescent="0.3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</row>
    <row r="2181" spans="1:7" x14ac:dyDescent="0.3">
      <c r="A2181" s="1" t="s">
        <v>680</v>
      </c>
      <c r="B2181" s="1" t="s">
        <v>7077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 x14ac:dyDescent="0.3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</row>
    <row r="2183" spans="1:7" x14ac:dyDescent="0.3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</row>
    <row r="2184" spans="1:7" x14ac:dyDescent="0.3">
      <c r="A2184" s="1" t="s">
        <v>680</v>
      </c>
      <c r="B2184" s="1" t="s">
        <v>7082</v>
      </c>
      <c r="D2184" s="1" t="s">
        <v>5737</v>
      </c>
      <c r="E2184" s="1" t="s">
        <v>5737</v>
      </c>
      <c r="F2184" s="1" t="s">
        <v>7083</v>
      </c>
    </row>
    <row r="2185" spans="1:7" x14ac:dyDescent="0.3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 x14ac:dyDescent="0.3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</row>
    <row r="2187" spans="1:7" x14ac:dyDescent="0.3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</row>
    <row r="2188" spans="1:7" x14ac:dyDescent="0.3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</row>
    <row r="2189" spans="1:7" x14ac:dyDescent="0.3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</row>
    <row r="2190" spans="1:7" x14ac:dyDescent="0.3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</row>
    <row r="2191" spans="1:7" x14ac:dyDescent="0.3">
      <c r="A2191" s="1" t="s">
        <v>680</v>
      </c>
      <c r="B2191" s="1" t="s">
        <v>7096</v>
      </c>
      <c r="D2191" s="1" t="s">
        <v>5737</v>
      </c>
      <c r="E2191" s="1" t="s">
        <v>5737</v>
      </c>
      <c r="F2191" s="1" t="s">
        <v>7097</v>
      </c>
    </row>
    <row r="2192" spans="1:7" x14ac:dyDescent="0.3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</row>
    <row r="2193" spans="1:7" x14ac:dyDescent="0.3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</row>
    <row r="2194" spans="1:7" x14ac:dyDescent="0.3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</row>
    <row r="2195" spans="1:7" x14ac:dyDescent="0.3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</row>
    <row r="2196" spans="1:7" x14ac:dyDescent="0.3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 x14ac:dyDescent="0.3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</row>
    <row r="2198" spans="1:7" x14ac:dyDescent="0.3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</row>
    <row r="2199" spans="1:7" x14ac:dyDescent="0.3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</row>
    <row r="2200" spans="1:7" x14ac:dyDescent="0.3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</row>
    <row r="2201" spans="1:7" x14ac:dyDescent="0.3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</row>
    <row r="2202" spans="1:7" x14ac:dyDescent="0.3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G2202" s="1" t="s">
        <v>7124</v>
      </c>
    </row>
    <row r="2203" spans="1:7" x14ac:dyDescent="0.3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 x14ac:dyDescent="0.3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G2204" s="1" t="s">
        <v>7132</v>
      </c>
    </row>
    <row r="2205" spans="1:7" x14ac:dyDescent="0.3">
      <c r="A2205" s="1" t="s">
        <v>83</v>
      </c>
      <c r="B2205" s="1" t="s">
        <v>7133</v>
      </c>
      <c r="C2205" s="1" t="s">
        <v>7134</v>
      </c>
      <c r="D2205" s="1" t="s">
        <v>5737</v>
      </c>
      <c r="F2205" s="1" t="s">
        <v>7135</v>
      </c>
      <c r="G2205" s="1" t="s">
        <v>7136</v>
      </c>
    </row>
    <row r="2206" spans="1:7" x14ac:dyDescent="0.3">
      <c r="A2206" s="1" t="s">
        <v>680</v>
      </c>
      <c r="B2206" s="1" t="s">
        <v>7137</v>
      </c>
      <c r="C2206" s="1" t="s">
        <v>7138</v>
      </c>
      <c r="D2206" s="1" t="s">
        <v>5737</v>
      </c>
      <c r="F2206" s="1" t="s">
        <v>7139</v>
      </c>
    </row>
    <row r="2207" spans="1:7" x14ac:dyDescent="0.3">
      <c r="A2207" s="1" t="s">
        <v>83</v>
      </c>
      <c r="B2207" s="1" t="s">
        <v>7140</v>
      </c>
      <c r="C2207" s="1" t="s">
        <v>7141</v>
      </c>
      <c r="D2207" s="1" t="s">
        <v>5737</v>
      </c>
      <c r="G2207" s="1" t="s">
        <v>7142</v>
      </c>
    </row>
    <row r="2208" spans="1:7" x14ac:dyDescent="0.3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G2208" s="1" t="s">
        <v>7146</v>
      </c>
    </row>
    <row r="2209" spans="1:7" x14ac:dyDescent="0.3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</row>
    <row r="2210" spans="1:7" x14ac:dyDescent="0.3">
      <c r="A2210" s="1" t="s">
        <v>83</v>
      </c>
      <c r="B2210" s="1" t="s">
        <v>7150</v>
      </c>
      <c r="C2210" s="1" t="s">
        <v>7151</v>
      </c>
      <c r="D2210" s="1" t="s">
        <v>5737</v>
      </c>
      <c r="G2210" s="1" t="s">
        <v>7152</v>
      </c>
    </row>
    <row r="2211" spans="1:7" x14ac:dyDescent="0.3">
      <c r="A2211" s="1" t="s">
        <v>83</v>
      </c>
      <c r="B2211" s="1" t="s">
        <v>7153</v>
      </c>
      <c r="C2211" s="1" t="s">
        <v>7154</v>
      </c>
      <c r="D2211" s="1" t="s">
        <v>5737</v>
      </c>
      <c r="G2211" s="1" t="s">
        <v>7152</v>
      </c>
    </row>
    <row r="2212" spans="1:7" x14ac:dyDescent="0.3">
      <c r="A2212" s="1" t="s">
        <v>30</v>
      </c>
      <c r="B2212" s="1" t="s">
        <v>7155</v>
      </c>
      <c r="C2212" s="1" t="s">
        <v>7156</v>
      </c>
      <c r="D2212" s="1" t="s">
        <v>5737</v>
      </c>
      <c r="G2212" s="1" t="s">
        <v>7157</v>
      </c>
    </row>
    <row r="2213" spans="1:7" x14ac:dyDescent="0.3">
      <c r="A2213" s="1" t="s">
        <v>30</v>
      </c>
      <c r="B2213" s="1" t="s">
        <v>7158</v>
      </c>
      <c r="C2213" s="1" t="s">
        <v>7159</v>
      </c>
      <c r="D2213" s="1" t="s">
        <v>5737</v>
      </c>
      <c r="G2213" s="1" t="s">
        <v>7160</v>
      </c>
    </row>
    <row r="2214" spans="1:7" x14ac:dyDescent="0.3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G2214" s="1" t="s">
        <v>7165</v>
      </c>
    </row>
    <row r="2215" spans="1:7" x14ac:dyDescent="0.3">
      <c r="A2215" s="1" t="s">
        <v>30</v>
      </c>
      <c r="B2215" s="1" t="s">
        <v>7166</v>
      </c>
      <c r="C2215" s="1" t="s">
        <v>7167</v>
      </c>
      <c r="D2215" s="1" t="s">
        <v>7163</v>
      </c>
      <c r="G2215" s="1" t="s">
        <v>7168</v>
      </c>
    </row>
    <row r="2216" spans="1:7" x14ac:dyDescent="0.3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 x14ac:dyDescent="0.3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 x14ac:dyDescent="0.3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 x14ac:dyDescent="0.3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 x14ac:dyDescent="0.3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 x14ac:dyDescent="0.3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G2221" s="1" t="s">
        <v>7192</v>
      </c>
    </row>
    <row r="2222" spans="1:7" x14ac:dyDescent="0.3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G2222" s="1" t="s">
        <v>7195</v>
      </c>
    </row>
    <row r="2223" spans="1:7" x14ac:dyDescent="0.3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 x14ac:dyDescent="0.3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</row>
    <row r="2225" spans="1:7" x14ac:dyDescent="0.3">
      <c r="A2225" s="1" t="s">
        <v>13</v>
      </c>
      <c r="B2225" s="1" t="s">
        <v>7204</v>
      </c>
      <c r="C2225" s="1" t="s">
        <v>7205</v>
      </c>
      <c r="D2225" s="1" t="s">
        <v>7202</v>
      </c>
      <c r="F2225" s="1" t="s">
        <v>7206</v>
      </c>
      <c r="G2225" s="1" t="s">
        <v>7207</v>
      </c>
    </row>
    <row r="2226" spans="1:7" x14ac:dyDescent="0.3">
      <c r="A2226" s="1" t="s">
        <v>30</v>
      </c>
      <c r="B2226" s="1" t="s">
        <v>7208</v>
      </c>
      <c r="C2226" s="1" t="s">
        <v>7209</v>
      </c>
      <c r="D2226" s="1" t="s">
        <v>7202</v>
      </c>
      <c r="G2226" s="1" t="s">
        <v>7210</v>
      </c>
    </row>
    <row r="2227" spans="1:7" x14ac:dyDescent="0.3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 x14ac:dyDescent="0.3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 x14ac:dyDescent="0.3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</row>
    <row r="2230" spans="1:7" x14ac:dyDescent="0.3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</row>
    <row r="2231" spans="1:7" x14ac:dyDescent="0.3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 x14ac:dyDescent="0.3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G2232" s="1" t="s">
        <v>7230</v>
      </c>
    </row>
    <row r="2233" spans="1:7" x14ac:dyDescent="0.3">
      <c r="A2233" s="1" t="s">
        <v>89</v>
      </c>
      <c r="B2233" s="1" t="s">
        <v>7231</v>
      </c>
      <c r="D2233" s="1" t="s">
        <v>7202</v>
      </c>
    </row>
    <row r="2234" spans="1:7" x14ac:dyDescent="0.3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 x14ac:dyDescent="0.3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G2235" s="1" t="s">
        <v>7239</v>
      </c>
    </row>
    <row r="2236" spans="1:7" x14ac:dyDescent="0.3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G2236" s="1" t="s">
        <v>7239</v>
      </c>
    </row>
    <row r="2237" spans="1:7" x14ac:dyDescent="0.3">
      <c r="A2237" s="1" t="s">
        <v>21</v>
      </c>
      <c r="B2237" s="1" t="s">
        <v>7241</v>
      </c>
      <c r="C2237" s="1" t="s">
        <v>7242</v>
      </c>
      <c r="D2237" s="1" t="s">
        <v>7202</v>
      </c>
      <c r="F2237" s="1" t="s">
        <v>7243</v>
      </c>
      <c r="G2237" s="1" t="s">
        <v>7244</v>
      </c>
    </row>
    <row r="2238" spans="1:7" x14ac:dyDescent="0.3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G2238" s="1" t="s">
        <v>7248</v>
      </c>
    </row>
    <row r="2239" spans="1:7" x14ac:dyDescent="0.3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 x14ac:dyDescent="0.3">
      <c r="A2240" s="1" t="s">
        <v>30</v>
      </c>
      <c r="B2240" s="1" t="s">
        <v>7254</v>
      </c>
      <c r="C2240" s="1" t="s">
        <v>7255</v>
      </c>
      <c r="D2240" s="1" t="s">
        <v>7256</v>
      </c>
      <c r="F2240" s="1" t="s">
        <v>7257</v>
      </c>
      <c r="G2240" s="1" t="s">
        <v>7258</v>
      </c>
    </row>
    <row r="2241" spans="1:7" x14ac:dyDescent="0.3">
      <c r="A2241" s="1" t="s">
        <v>36</v>
      </c>
      <c r="B2241" s="1" t="s">
        <v>7259</v>
      </c>
      <c r="C2241" s="1" t="s">
        <v>7260</v>
      </c>
      <c r="D2241" s="1" t="s">
        <v>7256</v>
      </c>
      <c r="F2241" s="1" t="s">
        <v>7261</v>
      </c>
      <c r="G2241" s="1" t="s">
        <v>7262</v>
      </c>
    </row>
    <row r="2242" spans="1:7" x14ac:dyDescent="0.3">
      <c r="A2242" s="1" t="s">
        <v>30</v>
      </c>
      <c r="B2242" s="1" t="s">
        <v>7263</v>
      </c>
      <c r="C2242" s="1" t="s">
        <v>7264</v>
      </c>
      <c r="D2242" s="1" t="s">
        <v>7256</v>
      </c>
      <c r="F2242" s="1" t="s">
        <v>7265</v>
      </c>
      <c r="G2242" s="1" t="s">
        <v>7266</v>
      </c>
    </row>
    <row r="2243" spans="1:7" x14ac:dyDescent="0.3">
      <c r="A2243" s="1" t="s">
        <v>83</v>
      </c>
      <c r="B2243" s="1" t="s">
        <v>7267</v>
      </c>
      <c r="C2243" s="1" t="s">
        <v>7268</v>
      </c>
      <c r="D2243" s="1" t="s">
        <v>7256</v>
      </c>
      <c r="F2243" s="1" t="s">
        <v>7269</v>
      </c>
      <c r="G2243" s="1" t="s">
        <v>7270</v>
      </c>
    </row>
    <row r="2244" spans="1:7" x14ac:dyDescent="0.3">
      <c r="A2244" s="1" t="s">
        <v>30</v>
      </c>
      <c r="B2244" s="1" t="s">
        <v>7271</v>
      </c>
      <c r="C2244" s="1" t="s">
        <v>7272</v>
      </c>
      <c r="D2244" s="1" t="s">
        <v>7256</v>
      </c>
      <c r="F2244" s="1" t="s">
        <v>7273</v>
      </c>
      <c r="G2244" s="1" t="s">
        <v>7274</v>
      </c>
    </row>
    <row r="2245" spans="1:7" x14ac:dyDescent="0.3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 x14ac:dyDescent="0.3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 x14ac:dyDescent="0.3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G2247" s="1" t="s">
        <v>7286</v>
      </c>
    </row>
    <row r="2248" spans="1:7" x14ac:dyDescent="0.3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G2248" s="1" t="s">
        <v>7289</v>
      </c>
    </row>
    <row r="2249" spans="1:7" x14ac:dyDescent="0.3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 x14ac:dyDescent="0.3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 x14ac:dyDescent="0.3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 x14ac:dyDescent="0.3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 x14ac:dyDescent="0.3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</row>
    <row r="2254" spans="1:7" x14ac:dyDescent="0.3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 x14ac:dyDescent="0.3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 x14ac:dyDescent="0.3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 x14ac:dyDescent="0.3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 x14ac:dyDescent="0.3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 x14ac:dyDescent="0.3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 x14ac:dyDescent="0.3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</row>
    <row r="2261" spans="1:7" x14ac:dyDescent="0.3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 x14ac:dyDescent="0.3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 x14ac:dyDescent="0.3">
      <c r="A2263" s="1" t="s">
        <v>30</v>
      </c>
      <c r="B2263" s="1" t="s">
        <v>7339</v>
      </c>
      <c r="C2263" s="1" t="s">
        <v>7340</v>
      </c>
      <c r="D2263" s="1" t="s">
        <v>7256</v>
      </c>
      <c r="F2263" s="1" t="s">
        <v>7341</v>
      </c>
      <c r="G2263" s="1" t="s">
        <v>7342</v>
      </c>
    </row>
    <row r="2264" spans="1:7" x14ac:dyDescent="0.3">
      <c r="A2264" s="1" t="s">
        <v>83</v>
      </c>
      <c r="B2264" s="1" t="s">
        <v>7343</v>
      </c>
      <c r="C2264" s="1" t="s">
        <v>7344</v>
      </c>
      <c r="D2264" s="1" t="s">
        <v>7256</v>
      </c>
      <c r="G2264" s="1" t="s">
        <v>7345</v>
      </c>
    </row>
    <row r="2265" spans="1:7" x14ac:dyDescent="0.3">
      <c r="A2265" s="1" t="s">
        <v>30</v>
      </c>
      <c r="B2265" s="1" t="s">
        <v>7346</v>
      </c>
      <c r="C2265" s="1" t="s">
        <v>7347</v>
      </c>
      <c r="D2265" s="1" t="s">
        <v>7256</v>
      </c>
      <c r="G2265" s="1" t="s">
        <v>7348</v>
      </c>
    </row>
    <row r="2266" spans="1:7" x14ac:dyDescent="0.3">
      <c r="A2266" s="1" t="s">
        <v>30</v>
      </c>
      <c r="B2266" s="1" t="s">
        <v>7349</v>
      </c>
      <c r="C2266" s="1" t="s">
        <v>7350</v>
      </c>
      <c r="D2266" s="1" t="s">
        <v>7256</v>
      </c>
      <c r="F2266" s="1" t="s">
        <v>7351</v>
      </c>
      <c r="G2266" s="1" t="s">
        <v>7352</v>
      </c>
    </row>
    <row r="2267" spans="1:7" x14ac:dyDescent="0.3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 x14ac:dyDescent="0.3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G2268" s="1" t="s">
        <v>7359</v>
      </c>
    </row>
    <row r="2269" spans="1:7" x14ac:dyDescent="0.3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G2269" s="1" t="s">
        <v>7362</v>
      </c>
    </row>
    <row r="2270" spans="1:7" x14ac:dyDescent="0.3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 x14ac:dyDescent="0.3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G2271" s="1" t="s">
        <v>7370</v>
      </c>
    </row>
    <row r="2272" spans="1:7" x14ac:dyDescent="0.3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G2272" s="1" t="s">
        <v>7373</v>
      </c>
    </row>
    <row r="2273" spans="1:7" x14ac:dyDescent="0.3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G2273" s="1" t="s">
        <v>7376</v>
      </c>
    </row>
    <row r="2274" spans="1:7" x14ac:dyDescent="0.3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G2274" s="1" t="s">
        <v>7379</v>
      </c>
    </row>
    <row r="2275" spans="1:7" x14ac:dyDescent="0.3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G2275" s="1" t="s">
        <v>7382</v>
      </c>
    </row>
    <row r="2276" spans="1:7" x14ac:dyDescent="0.3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G2276" s="1" t="s">
        <v>7385</v>
      </c>
    </row>
    <row r="2277" spans="1:7" x14ac:dyDescent="0.3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G2277" s="1" t="s">
        <v>7389</v>
      </c>
    </row>
    <row r="2278" spans="1:7" x14ac:dyDescent="0.3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G2278" s="1" t="s">
        <v>7392</v>
      </c>
    </row>
    <row r="2279" spans="1:7" x14ac:dyDescent="0.3">
      <c r="A2279" s="1" t="s">
        <v>13</v>
      </c>
      <c r="B2279" s="1" t="s">
        <v>7393</v>
      </c>
      <c r="C2279" s="1" t="s">
        <v>7394</v>
      </c>
      <c r="D2279" s="1" t="s">
        <v>7388</v>
      </c>
      <c r="G2279" s="1" t="s">
        <v>7395</v>
      </c>
    </row>
    <row r="2280" spans="1:7" x14ac:dyDescent="0.3">
      <c r="A2280" s="1" t="s">
        <v>30</v>
      </c>
      <c r="B2280" s="1" t="s">
        <v>7396</v>
      </c>
      <c r="C2280" s="1" t="s">
        <v>7397</v>
      </c>
      <c r="D2280" s="1" t="s">
        <v>7388</v>
      </c>
      <c r="F2280" s="1" t="s">
        <v>7398</v>
      </c>
      <c r="G2280" s="1" t="s">
        <v>7399</v>
      </c>
    </row>
    <row r="2281" spans="1:7" x14ac:dyDescent="0.3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G2281" s="1" t="s">
        <v>7403</v>
      </c>
    </row>
    <row r="2282" spans="1:7" x14ac:dyDescent="0.3">
      <c r="A2282" s="1" t="s">
        <v>30</v>
      </c>
      <c r="B2282" s="1" t="s">
        <v>7404</v>
      </c>
      <c r="C2282" s="1" t="s">
        <v>7405</v>
      </c>
      <c r="D2282" s="1" t="s">
        <v>7388</v>
      </c>
      <c r="F2282" s="1" t="s">
        <v>7406</v>
      </c>
      <c r="G2282" s="1" t="s">
        <v>7407</v>
      </c>
    </row>
    <row r="2283" spans="1:7" x14ac:dyDescent="0.3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 x14ac:dyDescent="0.3">
      <c r="A2284" s="1" t="s">
        <v>21</v>
      </c>
      <c r="B2284" s="1" t="s">
        <v>7412</v>
      </c>
      <c r="C2284" s="1" t="s">
        <v>7413</v>
      </c>
      <c r="D2284" s="1" t="s">
        <v>7388</v>
      </c>
      <c r="F2284" s="1" t="s">
        <v>7414</v>
      </c>
      <c r="G2284" s="1" t="s">
        <v>7415</v>
      </c>
    </row>
    <row r="2285" spans="1:7" x14ac:dyDescent="0.3">
      <c r="A2285" s="1" t="s">
        <v>7</v>
      </c>
      <c r="B2285" s="1" t="s">
        <v>7416</v>
      </c>
      <c r="C2285" s="1" t="s">
        <v>7417</v>
      </c>
      <c r="D2285" s="1" t="s">
        <v>7388</v>
      </c>
      <c r="G2285" s="1" t="s">
        <v>7418</v>
      </c>
    </row>
    <row r="2286" spans="1:7" x14ac:dyDescent="0.3">
      <c r="A2286" s="1" t="s">
        <v>30</v>
      </c>
      <c r="B2286" s="1" t="s">
        <v>3946</v>
      </c>
      <c r="C2286" s="1" t="s">
        <v>7419</v>
      </c>
      <c r="D2286" s="1" t="s">
        <v>7388</v>
      </c>
      <c r="F2286" s="1" t="s">
        <v>7420</v>
      </c>
      <c r="G2286" s="1" t="s">
        <v>7421</v>
      </c>
    </row>
    <row r="2287" spans="1:7" x14ac:dyDescent="0.3">
      <c r="A2287" s="1" t="s">
        <v>30</v>
      </c>
      <c r="B2287" s="1" t="s">
        <v>7422</v>
      </c>
      <c r="C2287" s="1" t="s">
        <v>7423</v>
      </c>
      <c r="D2287" s="1" t="s">
        <v>7388</v>
      </c>
    </row>
    <row r="2288" spans="1:7" x14ac:dyDescent="0.3">
      <c r="A2288" s="1" t="s">
        <v>30</v>
      </c>
      <c r="B2288" s="1" t="s">
        <v>7424</v>
      </c>
      <c r="C2288" s="1" t="s">
        <v>7425</v>
      </c>
      <c r="D2288" s="1" t="s">
        <v>7388</v>
      </c>
      <c r="F2288" s="1" t="s">
        <v>7426</v>
      </c>
      <c r="G2288" s="1" t="s">
        <v>7427</v>
      </c>
    </row>
    <row r="2289" spans="1:7" x14ac:dyDescent="0.3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 x14ac:dyDescent="0.3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 x14ac:dyDescent="0.3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 x14ac:dyDescent="0.3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 x14ac:dyDescent="0.3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G2293" s="1" t="s">
        <v>7444</v>
      </c>
    </row>
    <row r="2294" spans="1:7" x14ac:dyDescent="0.3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 x14ac:dyDescent="0.3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 x14ac:dyDescent="0.3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 x14ac:dyDescent="0.3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 x14ac:dyDescent="0.3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 x14ac:dyDescent="0.3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</row>
    <row r="2300" spans="1:7" x14ac:dyDescent="0.3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G2300" s="1" t="s">
        <v>7468</v>
      </c>
    </row>
    <row r="2301" spans="1:7" x14ac:dyDescent="0.3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G2301" s="1" t="s">
        <v>7471</v>
      </c>
    </row>
    <row r="2302" spans="1:7" x14ac:dyDescent="0.3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 x14ac:dyDescent="0.3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 x14ac:dyDescent="0.3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 x14ac:dyDescent="0.3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 x14ac:dyDescent="0.3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 x14ac:dyDescent="0.3">
      <c r="A2307" s="1" t="s">
        <v>83</v>
      </c>
      <c r="B2307" s="1" t="s">
        <v>7492</v>
      </c>
      <c r="D2307" s="1" t="s">
        <v>7388</v>
      </c>
      <c r="E2307" s="1" t="s">
        <v>7388</v>
      </c>
    </row>
    <row r="2308" spans="1:7" x14ac:dyDescent="0.3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</row>
    <row r="2309" spans="1:7" x14ac:dyDescent="0.3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 x14ac:dyDescent="0.3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 x14ac:dyDescent="0.3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G2311" s="1" t="s">
        <v>7505</v>
      </c>
    </row>
    <row r="2312" spans="1:7" x14ac:dyDescent="0.3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G2312" s="1" t="s">
        <v>7508</v>
      </c>
    </row>
    <row r="2313" spans="1:7" x14ac:dyDescent="0.3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G2313" s="1" t="s">
        <v>7511</v>
      </c>
    </row>
    <row r="2314" spans="1:7" x14ac:dyDescent="0.3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G2314" s="1" t="s">
        <v>7513</v>
      </c>
    </row>
    <row r="2315" spans="1:7" x14ac:dyDescent="0.3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G2315" s="1" t="s">
        <v>7516</v>
      </c>
    </row>
    <row r="2316" spans="1:7" x14ac:dyDescent="0.3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 x14ac:dyDescent="0.3">
      <c r="A2317" s="1" t="s">
        <v>191</v>
      </c>
      <c r="B2317" s="1" t="s">
        <v>7521</v>
      </c>
      <c r="C2317" s="1" t="s">
        <v>7522</v>
      </c>
      <c r="D2317" s="1" t="s">
        <v>7388</v>
      </c>
      <c r="G2317" s="1" t="s">
        <v>7523</v>
      </c>
    </row>
    <row r="2318" spans="1:7" x14ac:dyDescent="0.3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G2318" s="1" t="s">
        <v>7526</v>
      </c>
    </row>
    <row r="2319" spans="1:7" x14ac:dyDescent="0.3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 x14ac:dyDescent="0.3">
      <c r="A2320" s="1" t="s">
        <v>30</v>
      </c>
      <c r="B2320" s="1" t="s">
        <v>7532</v>
      </c>
      <c r="C2320" s="1" t="s">
        <v>7533</v>
      </c>
      <c r="D2320" s="1" t="s">
        <v>7388</v>
      </c>
      <c r="G2320" s="1" t="s">
        <v>7534</v>
      </c>
    </row>
    <row r="2321" spans="1:7" x14ac:dyDescent="0.3">
      <c r="A2321" s="1" t="s">
        <v>30</v>
      </c>
      <c r="B2321" s="1" t="s">
        <v>7535</v>
      </c>
      <c r="C2321" s="1" t="s">
        <v>7536</v>
      </c>
      <c r="D2321" s="1" t="s">
        <v>7388</v>
      </c>
      <c r="G2321" s="1" t="s">
        <v>7537</v>
      </c>
    </row>
    <row r="2322" spans="1:7" x14ac:dyDescent="0.3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 x14ac:dyDescent="0.3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G2323" s="1" t="s">
        <v>7545</v>
      </c>
    </row>
    <row r="2324" spans="1:7" x14ac:dyDescent="0.3">
      <c r="A2324" s="1" t="s">
        <v>30</v>
      </c>
      <c r="B2324" s="1" t="s">
        <v>7546</v>
      </c>
      <c r="C2324" s="1" t="s">
        <v>7547</v>
      </c>
      <c r="D2324" s="1" t="s">
        <v>7388</v>
      </c>
      <c r="F2324" s="1" t="s">
        <v>7548</v>
      </c>
      <c r="G2324" s="1" t="s">
        <v>7549</v>
      </c>
    </row>
    <row r="2325" spans="1:7" x14ac:dyDescent="0.3">
      <c r="A2325" s="1" t="s">
        <v>30</v>
      </c>
      <c r="B2325" s="1" t="s">
        <v>7550</v>
      </c>
      <c r="C2325" s="1" t="s">
        <v>7551</v>
      </c>
      <c r="D2325" s="1" t="s">
        <v>7388</v>
      </c>
      <c r="F2325" s="1" t="s">
        <v>7552</v>
      </c>
      <c r="G2325" s="1" t="s">
        <v>7553</v>
      </c>
    </row>
    <row r="2326" spans="1:7" x14ac:dyDescent="0.3">
      <c r="A2326" s="1" t="s">
        <v>30</v>
      </c>
      <c r="B2326" s="1" t="s">
        <v>7554</v>
      </c>
      <c r="C2326" s="1" t="s">
        <v>7555</v>
      </c>
      <c r="D2326" s="1" t="s">
        <v>7388</v>
      </c>
      <c r="F2326" s="1" t="s">
        <v>7556</v>
      </c>
      <c r="G2326" s="1" t="s">
        <v>7557</v>
      </c>
    </row>
    <row r="2327" spans="1:7" x14ac:dyDescent="0.3">
      <c r="A2327" s="1" t="s">
        <v>83</v>
      </c>
      <c r="B2327" s="1" t="s">
        <v>7558</v>
      </c>
      <c r="C2327" s="1" t="s">
        <v>7559</v>
      </c>
      <c r="D2327" s="1" t="s">
        <v>7388</v>
      </c>
      <c r="F2327" s="1" t="s">
        <v>7560</v>
      </c>
      <c r="G2327" s="1" t="s">
        <v>7561</v>
      </c>
    </row>
    <row r="2328" spans="1:7" x14ac:dyDescent="0.3">
      <c r="A2328" s="1" t="s">
        <v>191</v>
      </c>
      <c r="B2328" s="1" t="s">
        <v>7562</v>
      </c>
      <c r="C2328" s="1" t="s">
        <v>7563</v>
      </c>
      <c r="D2328" s="1" t="s">
        <v>7388</v>
      </c>
      <c r="F2328" s="1" t="s">
        <v>7564</v>
      </c>
      <c r="G2328" s="1" t="s">
        <v>7565</v>
      </c>
    </row>
    <row r="2329" spans="1:7" x14ac:dyDescent="0.3">
      <c r="A2329" s="1" t="s">
        <v>13</v>
      </c>
      <c r="B2329" s="1" t="s">
        <v>7566</v>
      </c>
      <c r="D2329" s="1" t="s">
        <v>7388</v>
      </c>
    </row>
    <row r="2330" spans="1:7" x14ac:dyDescent="0.3">
      <c r="A2330" s="1" t="s">
        <v>83</v>
      </c>
      <c r="B2330" s="1" t="s">
        <v>7567</v>
      </c>
      <c r="D2330" s="1" t="s">
        <v>7388</v>
      </c>
      <c r="G2330" s="1" t="s">
        <v>7568</v>
      </c>
    </row>
    <row r="2331" spans="1:7" x14ac:dyDescent="0.3">
      <c r="A2331" s="1" t="s">
        <v>30</v>
      </c>
      <c r="B2331" s="1" t="s">
        <v>7569</v>
      </c>
      <c r="C2331" s="1" t="s">
        <v>7570</v>
      </c>
      <c r="D2331" s="1" t="s">
        <v>7388</v>
      </c>
      <c r="F2331" s="1" t="s">
        <v>7571</v>
      </c>
      <c r="G2331" s="1" t="s">
        <v>7572</v>
      </c>
    </row>
    <row r="2332" spans="1:7" x14ac:dyDescent="0.3">
      <c r="A2332" s="1" t="s">
        <v>83</v>
      </c>
      <c r="B2332" s="1" t="s">
        <v>1727</v>
      </c>
      <c r="C2332" s="1" t="s">
        <v>7573</v>
      </c>
      <c r="D2332" s="1" t="s">
        <v>7574</v>
      </c>
      <c r="F2332" s="1" t="s">
        <v>7575</v>
      </c>
      <c r="G2332" s="1" t="s">
        <v>7576</v>
      </c>
    </row>
    <row r="2333" spans="1:7" x14ac:dyDescent="0.3">
      <c r="A2333" s="1" t="s">
        <v>30</v>
      </c>
      <c r="B2333" s="1" t="s">
        <v>7577</v>
      </c>
      <c r="C2333" s="1" t="s">
        <v>7578</v>
      </c>
      <c r="D2333" s="1" t="s">
        <v>7574</v>
      </c>
      <c r="F2333" s="1" t="s">
        <v>7579</v>
      </c>
      <c r="G2333" s="1" t="s">
        <v>7580</v>
      </c>
    </row>
    <row r="2334" spans="1:7" x14ac:dyDescent="0.3">
      <c r="A2334" s="1" t="s">
        <v>30</v>
      </c>
      <c r="B2334" s="1" t="s">
        <v>7581</v>
      </c>
      <c r="C2334" s="1" t="s">
        <v>7582</v>
      </c>
      <c r="D2334" s="1" t="s">
        <v>7574</v>
      </c>
      <c r="F2334" s="1" t="s">
        <v>7583</v>
      </c>
      <c r="G2334" s="1" t="s">
        <v>7584</v>
      </c>
    </row>
    <row r="2335" spans="1:7" x14ac:dyDescent="0.3">
      <c r="A2335" s="1" t="s">
        <v>30</v>
      </c>
      <c r="B2335" s="1" t="s">
        <v>7585</v>
      </c>
      <c r="C2335" s="1" t="s">
        <v>7586</v>
      </c>
      <c r="D2335" s="1" t="s">
        <v>7574</v>
      </c>
      <c r="G2335" s="1" t="s">
        <v>7587</v>
      </c>
    </row>
    <row r="2336" spans="1:7" x14ac:dyDescent="0.3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 x14ac:dyDescent="0.3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 x14ac:dyDescent="0.3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 x14ac:dyDescent="0.3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 x14ac:dyDescent="0.3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</row>
    <row r="2341" spans="1:7" x14ac:dyDescent="0.3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</row>
    <row r="2342" spans="1:7" x14ac:dyDescent="0.3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 x14ac:dyDescent="0.3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 x14ac:dyDescent="0.3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 x14ac:dyDescent="0.3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 x14ac:dyDescent="0.3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 x14ac:dyDescent="0.3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 x14ac:dyDescent="0.3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 x14ac:dyDescent="0.3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</row>
    <row r="2350" spans="1:7" x14ac:dyDescent="0.3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 x14ac:dyDescent="0.3">
      <c r="A2351" s="1" t="s">
        <v>83</v>
      </c>
      <c r="B2351" s="1" t="s">
        <v>7643</v>
      </c>
      <c r="C2351" s="1" t="s">
        <v>7644</v>
      </c>
      <c r="D2351" s="1" t="s">
        <v>7614</v>
      </c>
      <c r="G2351" s="1" t="s">
        <v>7645</v>
      </c>
    </row>
    <row r="2352" spans="1:7" x14ac:dyDescent="0.3">
      <c r="A2352" s="1" t="s">
        <v>13</v>
      </c>
      <c r="B2352" s="1" t="s">
        <v>7646</v>
      </c>
      <c r="C2352" s="1" t="s">
        <v>7647</v>
      </c>
      <c r="D2352" s="1" t="s">
        <v>7614</v>
      </c>
      <c r="G2352" s="1" t="s">
        <v>7648</v>
      </c>
    </row>
    <row r="2353" spans="1:7" x14ac:dyDescent="0.3">
      <c r="A2353" s="1" t="s">
        <v>30</v>
      </c>
      <c r="B2353" s="1" t="s">
        <v>7649</v>
      </c>
      <c r="C2353" s="1" t="s">
        <v>7650</v>
      </c>
      <c r="D2353" s="1" t="s">
        <v>7614</v>
      </c>
      <c r="F2353" s="1" t="s">
        <v>7651</v>
      </c>
      <c r="G2353" s="1" t="s">
        <v>7652</v>
      </c>
    </row>
    <row r="2354" spans="1:7" x14ac:dyDescent="0.3">
      <c r="A2354" s="1" t="s">
        <v>30</v>
      </c>
      <c r="B2354" s="1" t="s">
        <v>7653</v>
      </c>
      <c r="C2354" s="1" t="s">
        <v>7654</v>
      </c>
      <c r="D2354" s="1" t="s">
        <v>7614</v>
      </c>
    </row>
    <row r="2355" spans="1:7" x14ac:dyDescent="0.3">
      <c r="A2355" s="1" t="s">
        <v>30</v>
      </c>
      <c r="B2355" s="1" t="s">
        <v>7655</v>
      </c>
      <c r="C2355" s="1" t="s">
        <v>7656</v>
      </c>
      <c r="D2355" s="1" t="s">
        <v>7614</v>
      </c>
      <c r="G2355" s="1" t="s">
        <v>7657</v>
      </c>
    </row>
    <row r="2356" spans="1:7" x14ac:dyDescent="0.3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 x14ac:dyDescent="0.3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 x14ac:dyDescent="0.3">
      <c r="A2358" s="1" t="s">
        <v>30</v>
      </c>
      <c r="B2358" s="1" t="s">
        <v>7666</v>
      </c>
      <c r="C2358" s="1" t="s">
        <v>7667</v>
      </c>
      <c r="D2358" s="1" t="s">
        <v>7663</v>
      </c>
      <c r="G2358" s="1" t="s">
        <v>7668</v>
      </c>
    </row>
    <row r="2359" spans="1:7" x14ac:dyDescent="0.3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G2359" s="1" t="s">
        <v>7671</v>
      </c>
    </row>
    <row r="2360" spans="1:7" x14ac:dyDescent="0.3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 x14ac:dyDescent="0.3">
      <c r="A2361" s="1" t="s">
        <v>83</v>
      </c>
      <c r="B2361" s="1" t="s">
        <v>7676</v>
      </c>
      <c r="C2361" s="1" t="s">
        <v>7677</v>
      </c>
      <c r="D2361" s="1" t="s">
        <v>7663</v>
      </c>
      <c r="G2361" s="1" t="s">
        <v>7678</v>
      </c>
    </row>
    <row r="2362" spans="1:7" x14ac:dyDescent="0.3">
      <c r="A2362" s="1" t="s">
        <v>30</v>
      </c>
      <c r="B2362" s="1" t="s">
        <v>7679</v>
      </c>
      <c r="C2362" s="1" t="s">
        <v>7680</v>
      </c>
      <c r="D2362" s="1" t="s">
        <v>7681</v>
      </c>
      <c r="G2362" s="1" t="s">
        <v>7682</v>
      </c>
    </row>
    <row r="2363" spans="1:7" x14ac:dyDescent="0.3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 x14ac:dyDescent="0.3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G2364" s="1" t="s">
        <v>7689</v>
      </c>
    </row>
    <row r="2365" spans="1:7" x14ac:dyDescent="0.3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 x14ac:dyDescent="0.3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 x14ac:dyDescent="0.3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 x14ac:dyDescent="0.3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 x14ac:dyDescent="0.3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 x14ac:dyDescent="0.3">
      <c r="A2370" s="1" t="s">
        <v>7</v>
      </c>
      <c r="B2370" s="1" t="s">
        <v>7710</v>
      </c>
      <c r="D2370" s="1" t="s">
        <v>7681</v>
      </c>
      <c r="F2370" s="1" t="s">
        <v>7711</v>
      </c>
      <c r="G2370" s="1" t="s">
        <v>7712</v>
      </c>
    </row>
    <row r="2371" spans="1:7" x14ac:dyDescent="0.3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 x14ac:dyDescent="0.3">
      <c r="A2372" s="1" t="s">
        <v>30</v>
      </c>
      <c r="B2372" s="1" t="s">
        <v>7715</v>
      </c>
      <c r="C2372" s="1" t="s">
        <v>7716</v>
      </c>
      <c r="D2372" s="1" t="s">
        <v>7681</v>
      </c>
      <c r="F2372" s="1" t="s">
        <v>7717</v>
      </c>
      <c r="G2372" s="1" t="s">
        <v>7718</v>
      </c>
    </row>
    <row r="2373" spans="1:7" x14ac:dyDescent="0.3">
      <c r="A2373" s="1" t="s">
        <v>36</v>
      </c>
      <c r="B2373" s="1" t="s">
        <v>7719</v>
      </c>
      <c r="C2373" s="1" t="s">
        <v>7720</v>
      </c>
      <c r="D2373" s="1" t="s">
        <v>7721</v>
      </c>
      <c r="G2373" s="1" t="s">
        <v>7722</v>
      </c>
    </row>
    <row r="2374" spans="1:7" x14ac:dyDescent="0.3">
      <c r="A2374" s="1" t="s">
        <v>83</v>
      </c>
      <c r="B2374" s="1" t="s">
        <v>7723</v>
      </c>
      <c r="C2374" s="1" t="s">
        <v>7724</v>
      </c>
      <c r="D2374" s="1" t="s">
        <v>7721</v>
      </c>
      <c r="G2374" s="1" t="s">
        <v>7725</v>
      </c>
    </row>
    <row r="2375" spans="1:7" x14ac:dyDescent="0.3">
      <c r="A2375" s="1" t="s">
        <v>36</v>
      </c>
      <c r="B2375" s="1" t="s">
        <v>7726</v>
      </c>
      <c r="C2375" s="1" t="s">
        <v>7727</v>
      </c>
      <c r="D2375" s="1" t="s">
        <v>7721</v>
      </c>
      <c r="G2375" s="1" t="s">
        <v>7728</v>
      </c>
    </row>
    <row r="2376" spans="1:7" x14ac:dyDescent="0.3">
      <c r="A2376" s="1" t="s">
        <v>36</v>
      </c>
      <c r="B2376" s="1" t="s">
        <v>7729</v>
      </c>
      <c r="C2376" s="1" t="s">
        <v>7730</v>
      </c>
      <c r="D2376" s="1" t="s">
        <v>7721</v>
      </c>
    </row>
    <row r="2377" spans="1:7" x14ac:dyDescent="0.3">
      <c r="A2377" s="1" t="s">
        <v>30</v>
      </c>
      <c r="B2377" s="1" t="s">
        <v>7731</v>
      </c>
      <c r="C2377" s="1" t="s">
        <v>7732</v>
      </c>
      <c r="D2377" s="1" t="s">
        <v>7721</v>
      </c>
      <c r="F2377" s="1" t="s">
        <v>7733</v>
      </c>
      <c r="G2377" s="1" t="s">
        <v>7734</v>
      </c>
    </row>
    <row r="2378" spans="1:7" x14ac:dyDescent="0.3">
      <c r="A2378" s="1" t="s">
        <v>30</v>
      </c>
      <c r="B2378" s="1" t="s">
        <v>7735</v>
      </c>
      <c r="C2378" s="1" t="s">
        <v>7736</v>
      </c>
      <c r="D2378" s="1" t="s">
        <v>7721</v>
      </c>
      <c r="G2378" s="1" t="s">
        <v>7737</v>
      </c>
    </row>
    <row r="2379" spans="1:7" x14ac:dyDescent="0.3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 x14ac:dyDescent="0.3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 x14ac:dyDescent="0.3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</row>
    <row r="2382" spans="1:7" x14ac:dyDescent="0.3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G2382" s="1" t="s">
        <v>7748</v>
      </c>
    </row>
    <row r="2383" spans="1:7" x14ac:dyDescent="0.3">
      <c r="A2383" s="1" t="s">
        <v>680</v>
      </c>
      <c r="B2383" s="1" t="s">
        <v>7749</v>
      </c>
      <c r="C2383" s="1" t="s">
        <v>7750</v>
      </c>
      <c r="D2383" s="1" t="s">
        <v>7721</v>
      </c>
    </row>
    <row r="2384" spans="1:7" x14ac:dyDescent="0.3">
      <c r="A2384" s="1" t="s">
        <v>89</v>
      </c>
      <c r="B2384" s="1" t="s">
        <v>138</v>
      </c>
      <c r="D2384" s="1" t="s">
        <v>7721</v>
      </c>
      <c r="E2384" s="1" t="s">
        <v>7751</v>
      </c>
      <c r="G2384" s="1" t="s">
        <v>7752</v>
      </c>
    </row>
    <row r="2385" spans="1:7" x14ac:dyDescent="0.3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</row>
    <row r="2386" spans="1:7" x14ac:dyDescent="0.3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</row>
    <row r="2387" spans="1:7" x14ac:dyDescent="0.3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</row>
    <row r="2388" spans="1:7" x14ac:dyDescent="0.3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</row>
    <row r="2389" spans="1:7" x14ac:dyDescent="0.3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</row>
    <row r="2390" spans="1:7" x14ac:dyDescent="0.3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 x14ac:dyDescent="0.3">
      <c r="A2391" s="1" t="s">
        <v>680</v>
      </c>
      <c r="B2391" s="1" t="s">
        <v>7767</v>
      </c>
      <c r="D2391" s="1" t="s">
        <v>7721</v>
      </c>
      <c r="E2391" s="1" t="s">
        <v>7751</v>
      </c>
    </row>
    <row r="2392" spans="1:7" x14ac:dyDescent="0.3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</row>
    <row r="2393" spans="1:7" x14ac:dyDescent="0.3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</row>
    <row r="2394" spans="1:7" x14ac:dyDescent="0.3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</row>
    <row r="2395" spans="1:7" x14ac:dyDescent="0.3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 x14ac:dyDescent="0.3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</row>
    <row r="2397" spans="1:7" x14ac:dyDescent="0.3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 x14ac:dyDescent="0.3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G2398" s="1" t="s">
        <v>7787</v>
      </c>
    </row>
    <row r="2399" spans="1:7" x14ac:dyDescent="0.3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G2399" s="1" t="s">
        <v>7790</v>
      </c>
    </row>
    <row r="2400" spans="1:7" x14ac:dyDescent="0.3">
      <c r="A2400" s="1" t="s">
        <v>83</v>
      </c>
      <c r="B2400" s="1" t="s">
        <v>7791</v>
      </c>
      <c r="C2400" s="1" t="s">
        <v>7792</v>
      </c>
      <c r="D2400" s="1" t="s">
        <v>7721</v>
      </c>
      <c r="G2400" s="1" t="s">
        <v>7793</v>
      </c>
    </row>
    <row r="2401" spans="1:7" x14ac:dyDescent="0.3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 x14ac:dyDescent="0.3">
      <c r="A2402" s="1" t="s">
        <v>30</v>
      </c>
      <c r="B2402" s="1" t="s">
        <v>7798</v>
      </c>
      <c r="C2402" s="1" t="s">
        <v>7799</v>
      </c>
      <c r="D2402" s="1" t="s">
        <v>7721</v>
      </c>
      <c r="G2402" s="1" t="s">
        <v>7722</v>
      </c>
    </row>
    <row r="2403" spans="1:7" x14ac:dyDescent="0.3">
      <c r="A2403" s="1" t="s">
        <v>30</v>
      </c>
      <c r="B2403" s="1" t="s">
        <v>7800</v>
      </c>
      <c r="C2403" s="1" t="s">
        <v>7801</v>
      </c>
      <c r="D2403" s="1" t="s">
        <v>7721</v>
      </c>
      <c r="F2403" s="1" t="s">
        <v>7802</v>
      </c>
      <c r="G2403" s="1" t="s">
        <v>7803</v>
      </c>
    </row>
    <row r="2404" spans="1:7" x14ac:dyDescent="0.3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G2404" s="1" t="s">
        <v>7806</v>
      </c>
    </row>
    <row r="2405" spans="1:7" x14ac:dyDescent="0.3">
      <c r="A2405" s="1" t="s">
        <v>13</v>
      </c>
      <c r="B2405" s="1" t="s">
        <v>7807</v>
      </c>
      <c r="C2405" s="1" t="s">
        <v>7808</v>
      </c>
      <c r="D2405" s="1" t="s">
        <v>7721</v>
      </c>
    </row>
    <row r="2406" spans="1:7" x14ac:dyDescent="0.3">
      <c r="A2406" s="1" t="s">
        <v>30</v>
      </c>
      <c r="B2406" s="1" t="s">
        <v>7809</v>
      </c>
      <c r="C2406" s="1" t="s">
        <v>7810</v>
      </c>
      <c r="D2406" s="1" t="s">
        <v>7721</v>
      </c>
      <c r="G2406" s="1" t="s">
        <v>7811</v>
      </c>
    </row>
    <row r="2407" spans="1:7" x14ac:dyDescent="0.3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 x14ac:dyDescent="0.3">
      <c r="A2408" s="1" t="s">
        <v>36</v>
      </c>
      <c r="B2408" s="1" t="s">
        <v>7817</v>
      </c>
      <c r="C2408" s="1" t="s">
        <v>7818</v>
      </c>
      <c r="D2408" s="1" t="s">
        <v>7814</v>
      </c>
      <c r="F2408" s="1" t="s">
        <v>7819</v>
      </c>
      <c r="G2408" s="1" t="s">
        <v>7820</v>
      </c>
    </row>
    <row r="2409" spans="1:7" x14ac:dyDescent="0.3">
      <c r="A2409" s="1" t="s">
        <v>36</v>
      </c>
      <c r="B2409" s="1" t="s">
        <v>7821</v>
      </c>
      <c r="C2409" s="1" t="s">
        <v>7822</v>
      </c>
      <c r="D2409" s="1" t="s">
        <v>7814</v>
      </c>
      <c r="F2409" s="1" t="s">
        <v>7823</v>
      </c>
      <c r="G2409" s="1" t="s">
        <v>7824</v>
      </c>
    </row>
    <row r="2410" spans="1:7" x14ac:dyDescent="0.3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 x14ac:dyDescent="0.3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 x14ac:dyDescent="0.3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 x14ac:dyDescent="0.3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 x14ac:dyDescent="0.3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 x14ac:dyDescent="0.3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 x14ac:dyDescent="0.3">
      <c r="A2416" s="1" t="s">
        <v>30</v>
      </c>
      <c r="B2416" s="1" t="s">
        <v>7849</v>
      </c>
      <c r="D2416" s="1" t="s">
        <v>7827</v>
      </c>
      <c r="E2416" s="1" t="s">
        <v>7827</v>
      </c>
      <c r="G2416" s="1" t="s">
        <v>7850</v>
      </c>
    </row>
    <row r="2417" spans="1:7" x14ac:dyDescent="0.3">
      <c r="A2417" s="1" t="s">
        <v>30</v>
      </c>
      <c r="B2417" s="1" t="s">
        <v>2882</v>
      </c>
      <c r="C2417" s="1" t="s">
        <v>7851</v>
      </c>
      <c r="D2417" s="1" t="s">
        <v>7852</v>
      </c>
      <c r="G2417" s="1" t="s">
        <v>7853</v>
      </c>
    </row>
    <row r="2418" spans="1:7" x14ac:dyDescent="0.3">
      <c r="A2418" s="1" t="s">
        <v>13</v>
      </c>
      <c r="B2418" s="1" t="s">
        <v>7854</v>
      </c>
      <c r="C2418" s="1" t="s">
        <v>7855</v>
      </c>
      <c r="D2418" s="1" t="s">
        <v>7852</v>
      </c>
      <c r="F2418" s="1" t="s">
        <v>7856</v>
      </c>
      <c r="G2418" s="1" t="s">
        <v>7857</v>
      </c>
    </row>
    <row r="2419" spans="1:7" x14ac:dyDescent="0.3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 x14ac:dyDescent="0.3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 x14ac:dyDescent="0.3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G2421" s="1" t="s">
        <v>7869</v>
      </c>
    </row>
    <row r="2422" spans="1:7" x14ac:dyDescent="0.3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 x14ac:dyDescent="0.3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G2423" s="1" t="s">
        <v>7876</v>
      </c>
    </row>
    <row r="2424" spans="1:7" x14ac:dyDescent="0.3">
      <c r="A2424" s="1" t="s">
        <v>7</v>
      </c>
      <c r="B2424" s="1" t="s">
        <v>7877</v>
      </c>
      <c r="C2424" s="1" t="s">
        <v>7878</v>
      </c>
      <c r="D2424" s="1" t="s">
        <v>7852</v>
      </c>
      <c r="G2424" s="1" t="s">
        <v>7879</v>
      </c>
    </row>
    <row r="2425" spans="1:7" x14ac:dyDescent="0.3">
      <c r="A2425" s="1" t="s">
        <v>30</v>
      </c>
      <c r="B2425" s="1" t="s">
        <v>7880</v>
      </c>
      <c r="C2425" s="1" t="s">
        <v>7881</v>
      </c>
      <c r="D2425" s="1" t="s">
        <v>7852</v>
      </c>
      <c r="G2425" s="1" t="s">
        <v>7882</v>
      </c>
    </row>
    <row r="2426" spans="1:7" x14ac:dyDescent="0.3">
      <c r="A2426" s="1" t="s">
        <v>30</v>
      </c>
      <c r="B2426" s="1" t="s">
        <v>7883</v>
      </c>
      <c r="C2426" s="1" t="s">
        <v>7884</v>
      </c>
      <c r="D2426" s="1" t="s">
        <v>7852</v>
      </c>
      <c r="G2426" s="1" t="s">
        <v>7885</v>
      </c>
    </row>
    <row r="2427" spans="1:7" x14ac:dyDescent="0.3">
      <c r="A2427" s="1" t="s">
        <v>83</v>
      </c>
      <c r="B2427" s="1" t="s">
        <v>7886</v>
      </c>
      <c r="C2427" s="1" t="s">
        <v>7887</v>
      </c>
      <c r="D2427" s="1" t="s">
        <v>7852</v>
      </c>
      <c r="F2427" s="1" t="s">
        <v>7888</v>
      </c>
      <c r="G2427" s="1" t="s">
        <v>7889</v>
      </c>
    </row>
    <row r="2428" spans="1:7" x14ac:dyDescent="0.3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 x14ac:dyDescent="0.3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G2429" s="1" t="s">
        <v>7899</v>
      </c>
    </row>
    <row r="2430" spans="1:7" x14ac:dyDescent="0.3">
      <c r="A2430" s="1" t="s">
        <v>30</v>
      </c>
      <c r="B2430" s="1" t="s">
        <v>7900</v>
      </c>
      <c r="C2430" s="1" t="s">
        <v>7901</v>
      </c>
      <c r="D2430" s="1" t="s">
        <v>7892</v>
      </c>
      <c r="F2430" s="1" t="s">
        <v>7902</v>
      </c>
      <c r="G2430" s="1" t="s">
        <v>7903</v>
      </c>
    </row>
    <row r="2431" spans="1:7" x14ac:dyDescent="0.3">
      <c r="A2431" s="1" t="s">
        <v>36</v>
      </c>
      <c r="B2431" s="1" t="s">
        <v>7904</v>
      </c>
      <c r="C2431" s="1" t="s">
        <v>7905</v>
      </c>
      <c r="D2431" s="1" t="s">
        <v>7892</v>
      </c>
      <c r="F2431" s="1" t="s">
        <v>7906</v>
      </c>
      <c r="G2431" s="1" t="s">
        <v>7907</v>
      </c>
    </row>
    <row r="2432" spans="1:7" x14ac:dyDescent="0.3">
      <c r="A2432" s="1" t="s">
        <v>83</v>
      </c>
      <c r="B2432" s="1" t="s">
        <v>7908</v>
      </c>
      <c r="C2432" s="1" t="s">
        <v>7909</v>
      </c>
      <c r="D2432" s="1" t="s">
        <v>7892</v>
      </c>
      <c r="G2432" s="1" t="s">
        <v>7910</v>
      </c>
    </row>
    <row r="2433" spans="1:7" x14ac:dyDescent="0.3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 x14ac:dyDescent="0.3">
      <c r="A2434" s="1" t="s">
        <v>21</v>
      </c>
      <c r="B2434" s="1" t="s">
        <v>7915</v>
      </c>
      <c r="C2434" s="1" t="s">
        <v>7916</v>
      </c>
      <c r="D2434" s="1" t="s">
        <v>7892</v>
      </c>
      <c r="F2434" s="1" t="s">
        <v>7917</v>
      </c>
      <c r="G2434" s="1" t="s">
        <v>7918</v>
      </c>
    </row>
    <row r="2435" spans="1:7" x14ac:dyDescent="0.3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 x14ac:dyDescent="0.3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 x14ac:dyDescent="0.3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 x14ac:dyDescent="0.3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 x14ac:dyDescent="0.3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G2439" s="1" t="s">
        <v>7937</v>
      </c>
    </row>
    <row r="2440" spans="1:7" x14ac:dyDescent="0.3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 x14ac:dyDescent="0.3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G2441" s="1" t="s">
        <v>7944</v>
      </c>
    </row>
    <row r="2442" spans="1:7" x14ac:dyDescent="0.3">
      <c r="A2442" s="1" t="s">
        <v>83</v>
      </c>
      <c r="B2442" s="1" t="s">
        <v>7945</v>
      </c>
      <c r="C2442" s="1" t="s">
        <v>7946</v>
      </c>
      <c r="D2442" s="1" t="s">
        <v>7892</v>
      </c>
      <c r="F2442" s="1" t="s">
        <v>7947</v>
      </c>
      <c r="G2442" s="1" t="s">
        <v>7948</v>
      </c>
    </row>
    <row r="2443" spans="1:7" x14ac:dyDescent="0.3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 x14ac:dyDescent="0.3">
      <c r="A2444" s="1" t="s">
        <v>30</v>
      </c>
      <c r="B2444" s="1" t="s">
        <v>7953</v>
      </c>
      <c r="C2444" s="1" t="s">
        <v>7954</v>
      </c>
      <c r="D2444" s="1" t="s">
        <v>7892</v>
      </c>
      <c r="F2444" s="1" t="s">
        <v>7955</v>
      </c>
      <c r="G2444" s="1" t="s">
        <v>7956</v>
      </c>
    </row>
    <row r="2445" spans="1:7" x14ac:dyDescent="0.3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 x14ac:dyDescent="0.3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G2446" s="1" t="s">
        <v>7963</v>
      </c>
    </row>
    <row r="2447" spans="1:7" x14ac:dyDescent="0.3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</row>
    <row r="2448" spans="1:7" x14ac:dyDescent="0.3">
      <c r="A2448" s="1" t="s">
        <v>680</v>
      </c>
      <c r="B2448" s="1" t="s">
        <v>7966</v>
      </c>
      <c r="C2448" s="1" t="s">
        <v>7967</v>
      </c>
      <c r="D2448" s="1" t="s">
        <v>7892</v>
      </c>
      <c r="F2448" s="1" t="s">
        <v>7968</v>
      </c>
    </row>
    <row r="2449" spans="1:7" x14ac:dyDescent="0.3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</row>
    <row r="2450" spans="1:7" x14ac:dyDescent="0.3">
      <c r="A2450" s="1" t="s">
        <v>30</v>
      </c>
      <c r="B2450" s="1" t="s">
        <v>7972</v>
      </c>
      <c r="C2450" s="1" t="s">
        <v>7973</v>
      </c>
      <c r="D2450" s="1" t="s">
        <v>7892</v>
      </c>
      <c r="F2450" s="1" t="s">
        <v>7974</v>
      </c>
      <c r="G2450" s="1" t="s">
        <v>7975</v>
      </c>
    </row>
    <row r="2451" spans="1:7" x14ac:dyDescent="0.3">
      <c r="A2451" s="1" t="s">
        <v>30</v>
      </c>
      <c r="B2451" s="1" t="s">
        <v>7976</v>
      </c>
      <c r="C2451" s="1" t="s">
        <v>7977</v>
      </c>
      <c r="D2451" s="1" t="s">
        <v>7892</v>
      </c>
      <c r="F2451" s="1" t="s">
        <v>7974</v>
      </c>
      <c r="G2451" s="1" t="s">
        <v>7975</v>
      </c>
    </row>
    <row r="2452" spans="1:7" x14ac:dyDescent="0.3">
      <c r="A2452" s="1" t="s">
        <v>30</v>
      </c>
      <c r="B2452" s="1" t="s">
        <v>7978</v>
      </c>
      <c r="C2452" s="1" t="s">
        <v>7979</v>
      </c>
      <c r="D2452" s="1" t="s">
        <v>7892</v>
      </c>
      <c r="F2452" s="1" t="s">
        <v>7980</v>
      </c>
      <c r="G2452" s="1" t="s">
        <v>7981</v>
      </c>
    </row>
    <row r="2453" spans="1:7" x14ac:dyDescent="0.3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 x14ac:dyDescent="0.3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 x14ac:dyDescent="0.3">
      <c r="A2455" s="1" t="s">
        <v>30</v>
      </c>
      <c r="B2455" s="1" t="s">
        <v>7992</v>
      </c>
      <c r="C2455" s="1" t="s">
        <v>7993</v>
      </c>
      <c r="D2455" s="1" t="s">
        <v>7892</v>
      </c>
      <c r="F2455" s="1" t="s">
        <v>7994</v>
      </c>
      <c r="G2455" s="1" t="s">
        <v>7995</v>
      </c>
    </row>
    <row r="2456" spans="1:7" x14ac:dyDescent="0.3">
      <c r="A2456" s="1" t="s">
        <v>30</v>
      </c>
      <c r="B2456" s="1" t="s">
        <v>7996</v>
      </c>
      <c r="C2456" s="1" t="s">
        <v>7997</v>
      </c>
      <c r="D2456" s="1" t="s">
        <v>7892</v>
      </c>
      <c r="F2456" s="1" t="s">
        <v>7998</v>
      </c>
      <c r="G2456" s="1" t="s">
        <v>7999</v>
      </c>
    </row>
    <row r="2457" spans="1:7" x14ac:dyDescent="0.3">
      <c r="A2457" s="1" t="s">
        <v>83</v>
      </c>
      <c r="B2457" s="1" t="s">
        <v>8000</v>
      </c>
      <c r="C2457" s="1" t="s">
        <v>8001</v>
      </c>
      <c r="D2457" s="1" t="s">
        <v>7892</v>
      </c>
      <c r="F2457" s="1" t="s">
        <v>8002</v>
      </c>
      <c r="G2457" s="1" t="s">
        <v>8003</v>
      </c>
    </row>
    <row r="2458" spans="1:7" x14ac:dyDescent="0.3">
      <c r="A2458" s="1" t="s">
        <v>30</v>
      </c>
      <c r="B2458" s="1" t="s">
        <v>8004</v>
      </c>
      <c r="C2458" s="1" t="s">
        <v>8005</v>
      </c>
      <c r="D2458" s="1" t="s">
        <v>7892</v>
      </c>
      <c r="G2458" s="1" t="s">
        <v>8006</v>
      </c>
    </row>
    <row r="2459" spans="1:7" x14ac:dyDescent="0.3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</row>
    <row r="2460" spans="1:7" x14ac:dyDescent="0.3">
      <c r="A2460" s="1" t="s">
        <v>7</v>
      </c>
      <c r="B2460" s="1" t="s">
        <v>8010</v>
      </c>
      <c r="C2460" s="1" t="s">
        <v>8011</v>
      </c>
      <c r="D2460" s="1" t="s">
        <v>7892</v>
      </c>
      <c r="G2460" s="1" t="s">
        <v>7907</v>
      </c>
    </row>
    <row r="2461" spans="1:7" x14ac:dyDescent="0.3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 x14ac:dyDescent="0.3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 x14ac:dyDescent="0.3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G2463" s="1" t="s">
        <v>8022</v>
      </c>
    </row>
    <row r="2464" spans="1:7" x14ac:dyDescent="0.3">
      <c r="A2464" s="1" t="s">
        <v>13</v>
      </c>
      <c r="B2464" s="1" t="s">
        <v>8023</v>
      </c>
      <c r="C2464" s="1" t="s">
        <v>8024</v>
      </c>
      <c r="D2464" s="1" t="s">
        <v>7892</v>
      </c>
      <c r="G2464" s="1" t="s">
        <v>8025</v>
      </c>
    </row>
    <row r="2465" spans="1:7" x14ac:dyDescent="0.3">
      <c r="A2465" s="1" t="s">
        <v>13</v>
      </c>
      <c r="B2465" s="1" t="s">
        <v>8026</v>
      </c>
      <c r="C2465" s="1" t="s">
        <v>8027</v>
      </c>
      <c r="D2465" s="1" t="s">
        <v>7892</v>
      </c>
    </row>
    <row r="2466" spans="1:7" x14ac:dyDescent="0.3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 x14ac:dyDescent="0.3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</row>
    <row r="2468" spans="1:7" x14ac:dyDescent="0.3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 x14ac:dyDescent="0.3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 x14ac:dyDescent="0.3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 x14ac:dyDescent="0.3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</row>
    <row r="2472" spans="1:7" x14ac:dyDescent="0.3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</row>
    <row r="2473" spans="1:7" x14ac:dyDescent="0.3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G2473" s="1" t="s">
        <v>8051</v>
      </c>
    </row>
    <row r="2474" spans="1:7" x14ac:dyDescent="0.3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 x14ac:dyDescent="0.3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 x14ac:dyDescent="0.3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 x14ac:dyDescent="0.3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 x14ac:dyDescent="0.3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G2478" s="1" t="s">
        <v>8067</v>
      </c>
    </row>
    <row r="2479" spans="1:7" x14ac:dyDescent="0.3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 x14ac:dyDescent="0.3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G2480" s="1" t="s">
        <v>8074</v>
      </c>
    </row>
    <row r="2481" spans="1:7" x14ac:dyDescent="0.3">
      <c r="A2481" s="1" t="s">
        <v>21</v>
      </c>
      <c r="B2481" s="1" t="s">
        <v>8075</v>
      </c>
      <c r="D2481" s="1" t="s">
        <v>7892</v>
      </c>
      <c r="F2481" s="1" t="s">
        <v>8076</v>
      </c>
      <c r="G2481" s="1" t="s">
        <v>8077</v>
      </c>
    </row>
    <row r="2482" spans="1:7" x14ac:dyDescent="0.3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 x14ac:dyDescent="0.3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 x14ac:dyDescent="0.3">
      <c r="A2484" s="1" t="s">
        <v>30</v>
      </c>
      <c r="B2484" s="1" t="s">
        <v>8086</v>
      </c>
      <c r="D2484" s="1" t="s">
        <v>7892</v>
      </c>
      <c r="E2484" s="1" t="s">
        <v>7892</v>
      </c>
      <c r="G2484" s="1" t="s">
        <v>8087</v>
      </c>
    </row>
    <row r="2485" spans="1:7" x14ac:dyDescent="0.3">
      <c r="A2485" s="1" t="s">
        <v>30</v>
      </c>
      <c r="B2485" s="1" t="s">
        <v>8088</v>
      </c>
      <c r="C2485" s="1" t="s">
        <v>8089</v>
      </c>
      <c r="D2485" s="1" t="s">
        <v>7892</v>
      </c>
      <c r="G2485" s="1" t="s">
        <v>8087</v>
      </c>
    </row>
    <row r="2486" spans="1:7" x14ac:dyDescent="0.3">
      <c r="A2486" s="1" t="s">
        <v>680</v>
      </c>
      <c r="B2486" s="1" t="s">
        <v>8090</v>
      </c>
      <c r="D2486" s="1" t="s">
        <v>7892</v>
      </c>
      <c r="E2486" s="1" t="s">
        <v>8091</v>
      </c>
    </row>
    <row r="2487" spans="1:7" x14ac:dyDescent="0.3">
      <c r="A2487" s="1" t="s">
        <v>30</v>
      </c>
      <c r="B2487" s="1" t="s">
        <v>8092</v>
      </c>
      <c r="C2487" s="1" t="s">
        <v>8093</v>
      </c>
      <c r="D2487" s="1" t="s">
        <v>7892</v>
      </c>
      <c r="F2487" s="1" t="s">
        <v>8094</v>
      </c>
      <c r="G2487" s="1" t="s">
        <v>8095</v>
      </c>
    </row>
    <row r="2488" spans="1:7" x14ac:dyDescent="0.3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 x14ac:dyDescent="0.3">
      <c r="A2489" s="1" t="s">
        <v>30</v>
      </c>
      <c r="B2489" s="1" t="s">
        <v>8100</v>
      </c>
      <c r="C2489" s="1" t="s">
        <v>8101</v>
      </c>
      <c r="D2489" s="1" t="s">
        <v>7892</v>
      </c>
      <c r="G2489" s="1" t="s">
        <v>8102</v>
      </c>
    </row>
    <row r="2490" spans="1:7" x14ac:dyDescent="0.3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G2490" s="1" t="s">
        <v>8105</v>
      </c>
    </row>
    <row r="2491" spans="1:7" x14ac:dyDescent="0.3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 x14ac:dyDescent="0.3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 x14ac:dyDescent="0.3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G2493" s="1" t="s">
        <v>8116</v>
      </c>
    </row>
    <row r="2494" spans="1:7" x14ac:dyDescent="0.3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 x14ac:dyDescent="0.3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 x14ac:dyDescent="0.3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</row>
    <row r="2497" spans="1:7" x14ac:dyDescent="0.3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G2497" s="1" t="s">
        <v>8129</v>
      </c>
    </row>
    <row r="2498" spans="1:7" x14ac:dyDescent="0.3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 x14ac:dyDescent="0.3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 x14ac:dyDescent="0.3">
      <c r="A2500" s="1" t="s">
        <v>680</v>
      </c>
      <c r="B2500" s="1" t="s">
        <v>8138</v>
      </c>
      <c r="C2500" s="1" t="s">
        <v>8139</v>
      </c>
      <c r="D2500" s="1" t="s">
        <v>7892</v>
      </c>
      <c r="F2500" s="1" t="s">
        <v>8140</v>
      </c>
      <c r="G2500" s="1" t="s">
        <v>8141</v>
      </c>
    </row>
    <row r="2501" spans="1:7" x14ac:dyDescent="0.3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 x14ac:dyDescent="0.3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G2502" s="1" t="s">
        <v>8148</v>
      </c>
    </row>
    <row r="2503" spans="1:7" x14ac:dyDescent="0.3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</row>
    <row r="2504" spans="1:7" x14ac:dyDescent="0.3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</row>
    <row r="2505" spans="1:7" x14ac:dyDescent="0.3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G2505" s="1" t="s">
        <v>8154</v>
      </c>
    </row>
    <row r="2506" spans="1:7" x14ac:dyDescent="0.3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 x14ac:dyDescent="0.3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 x14ac:dyDescent="0.3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</row>
    <row r="2509" spans="1:7" x14ac:dyDescent="0.3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</row>
    <row r="2510" spans="1:7" x14ac:dyDescent="0.3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</row>
    <row r="2511" spans="1:7" x14ac:dyDescent="0.3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</row>
    <row r="2512" spans="1:7" x14ac:dyDescent="0.3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</row>
    <row r="2513" spans="1:7" x14ac:dyDescent="0.3">
      <c r="A2513" s="1" t="s">
        <v>680</v>
      </c>
      <c r="B2513" s="1" t="s">
        <v>8169</v>
      </c>
      <c r="C2513" s="1" t="s">
        <v>8170</v>
      </c>
      <c r="D2513" s="1" t="s">
        <v>7892</v>
      </c>
      <c r="F2513" s="1" t="s">
        <v>8171</v>
      </c>
      <c r="G2513" s="1" t="s">
        <v>8172</v>
      </c>
    </row>
    <row r="2514" spans="1:7" x14ac:dyDescent="0.3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</row>
    <row r="2515" spans="1:7" x14ac:dyDescent="0.3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</row>
    <row r="2516" spans="1:7" x14ac:dyDescent="0.3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</row>
    <row r="2517" spans="1:7" x14ac:dyDescent="0.3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</row>
    <row r="2518" spans="1:7" x14ac:dyDescent="0.3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 x14ac:dyDescent="0.3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 x14ac:dyDescent="0.3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G2520" s="1" t="s">
        <v>8192</v>
      </c>
    </row>
    <row r="2521" spans="1:7" x14ac:dyDescent="0.3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G2521" s="1" t="s">
        <v>8195</v>
      </c>
    </row>
    <row r="2522" spans="1:7" x14ac:dyDescent="0.3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</row>
    <row r="2523" spans="1:7" x14ac:dyDescent="0.3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 x14ac:dyDescent="0.3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G2524" s="1" t="s">
        <v>8204</v>
      </c>
    </row>
    <row r="2525" spans="1:7" x14ac:dyDescent="0.3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G2525" s="1" t="s">
        <v>8207</v>
      </c>
    </row>
    <row r="2526" spans="1:7" x14ac:dyDescent="0.3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</row>
    <row r="2527" spans="1:7" x14ac:dyDescent="0.3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</row>
    <row r="2528" spans="1:7" x14ac:dyDescent="0.3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</row>
    <row r="2529" spans="1:7" x14ac:dyDescent="0.3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</row>
    <row r="2530" spans="1:7" x14ac:dyDescent="0.3">
      <c r="A2530" s="1" t="s">
        <v>680</v>
      </c>
      <c r="B2530" s="1" t="s">
        <v>8215</v>
      </c>
      <c r="D2530" s="1" t="s">
        <v>7892</v>
      </c>
      <c r="F2530" s="1" t="s">
        <v>7930</v>
      </c>
      <c r="G2530" s="1" t="s">
        <v>7929</v>
      </c>
    </row>
    <row r="2531" spans="1:7" x14ac:dyDescent="0.3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 x14ac:dyDescent="0.3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</row>
    <row r="2533" spans="1:7" x14ac:dyDescent="0.3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 x14ac:dyDescent="0.3">
      <c r="A2534" s="1" t="s">
        <v>680</v>
      </c>
      <c r="B2534" s="1" t="s">
        <v>7923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 x14ac:dyDescent="0.3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</row>
    <row r="2536" spans="1:7" x14ac:dyDescent="0.3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</row>
    <row r="2537" spans="1:7" x14ac:dyDescent="0.3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</row>
    <row r="2538" spans="1:7" x14ac:dyDescent="0.3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</row>
    <row r="2539" spans="1:7" x14ac:dyDescent="0.3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</row>
    <row r="2540" spans="1:7" x14ac:dyDescent="0.3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</row>
    <row r="2541" spans="1:7" x14ac:dyDescent="0.3">
      <c r="A2541" s="1" t="s">
        <v>680</v>
      </c>
      <c r="B2541" s="1" t="s">
        <v>8233</v>
      </c>
      <c r="D2541" s="1" t="s">
        <v>7892</v>
      </c>
      <c r="E2541" s="1" t="s">
        <v>7898</v>
      </c>
      <c r="G2541" s="1" t="s">
        <v>8234</v>
      </c>
    </row>
    <row r="2542" spans="1:7" x14ac:dyDescent="0.3">
      <c r="A2542" s="1" t="s">
        <v>680</v>
      </c>
      <c r="B2542" s="1" t="s">
        <v>8235</v>
      </c>
      <c r="C2542" s="1" t="s">
        <v>8236</v>
      </c>
      <c r="D2542" s="1" t="s">
        <v>7892</v>
      </c>
      <c r="F2542" s="1" t="s">
        <v>8237</v>
      </c>
      <c r="G2542" s="1" t="s">
        <v>8238</v>
      </c>
    </row>
    <row r="2543" spans="1:7" x14ac:dyDescent="0.3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G2543" s="1" t="s">
        <v>8241</v>
      </c>
    </row>
    <row r="2544" spans="1:7" x14ac:dyDescent="0.3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 x14ac:dyDescent="0.3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 x14ac:dyDescent="0.3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G2546" s="1" t="s">
        <v>8250</v>
      </c>
    </row>
    <row r="2547" spans="1:7" x14ac:dyDescent="0.3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 x14ac:dyDescent="0.3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 x14ac:dyDescent="0.3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G2549" s="1" t="s">
        <v>7963</v>
      </c>
    </row>
    <row r="2550" spans="1:7" x14ac:dyDescent="0.3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G2550" s="1" t="s">
        <v>8263</v>
      </c>
    </row>
    <row r="2551" spans="1:7" x14ac:dyDescent="0.3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 x14ac:dyDescent="0.3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G2552" s="1" t="s">
        <v>8270</v>
      </c>
    </row>
    <row r="2553" spans="1:7" x14ac:dyDescent="0.3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G2553" s="1" t="s">
        <v>8273</v>
      </c>
    </row>
    <row r="2554" spans="1:7" x14ac:dyDescent="0.3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G2554" s="1" t="s">
        <v>8276</v>
      </c>
    </row>
    <row r="2555" spans="1:7" x14ac:dyDescent="0.3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 x14ac:dyDescent="0.3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 x14ac:dyDescent="0.3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 x14ac:dyDescent="0.3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G2558" s="1" t="s">
        <v>8209</v>
      </c>
    </row>
    <row r="2559" spans="1:7" x14ac:dyDescent="0.3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G2559" s="1" t="s">
        <v>8288</v>
      </c>
    </row>
    <row r="2560" spans="1:7" x14ac:dyDescent="0.3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G2560" s="1" t="s">
        <v>8291</v>
      </c>
    </row>
    <row r="2561" spans="1:7" x14ac:dyDescent="0.3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 x14ac:dyDescent="0.3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G2562" s="1" t="s">
        <v>8298</v>
      </c>
    </row>
    <row r="2563" spans="1:7" x14ac:dyDescent="0.3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G2563" s="1" t="s">
        <v>8209</v>
      </c>
    </row>
    <row r="2564" spans="1:7" x14ac:dyDescent="0.3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 x14ac:dyDescent="0.3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 x14ac:dyDescent="0.3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 x14ac:dyDescent="0.3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 x14ac:dyDescent="0.3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 x14ac:dyDescent="0.3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G2569" s="1" t="s">
        <v>8318</v>
      </c>
    </row>
    <row r="2570" spans="1:7" x14ac:dyDescent="0.3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G2570" s="1" t="s">
        <v>8322</v>
      </c>
    </row>
    <row r="2571" spans="1:7" x14ac:dyDescent="0.3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 x14ac:dyDescent="0.3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 x14ac:dyDescent="0.3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 x14ac:dyDescent="0.3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 x14ac:dyDescent="0.3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 x14ac:dyDescent="0.3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 x14ac:dyDescent="0.3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G2577" s="1" t="s">
        <v>8344</v>
      </c>
    </row>
    <row r="2578" spans="1:7" x14ac:dyDescent="0.3">
      <c r="A2578" s="1" t="s">
        <v>30</v>
      </c>
      <c r="B2578" s="1" t="s">
        <v>8345</v>
      </c>
      <c r="C2578" s="1" t="s">
        <v>8346</v>
      </c>
      <c r="D2578" s="1" t="s">
        <v>7892</v>
      </c>
      <c r="G2578" s="1" t="s">
        <v>8347</v>
      </c>
    </row>
    <row r="2579" spans="1:7" x14ac:dyDescent="0.3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G2579" s="1" t="s">
        <v>8350</v>
      </c>
    </row>
    <row r="2580" spans="1:7" x14ac:dyDescent="0.3">
      <c r="A2580" s="1" t="s">
        <v>13</v>
      </c>
      <c r="B2580" s="1" t="s">
        <v>8351</v>
      </c>
      <c r="C2580" s="1" t="s">
        <v>8352</v>
      </c>
      <c r="D2580" s="1" t="s">
        <v>7892</v>
      </c>
      <c r="G2580" s="1" t="s">
        <v>8353</v>
      </c>
    </row>
    <row r="2581" spans="1:7" x14ac:dyDescent="0.3">
      <c r="A2581" s="1" t="s">
        <v>83</v>
      </c>
      <c r="B2581" s="1" t="s">
        <v>8354</v>
      </c>
      <c r="C2581" s="1" t="s">
        <v>8355</v>
      </c>
      <c r="D2581" s="1" t="s">
        <v>7892</v>
      </c>
      <c r="G2581" s="1" t="s">
        <v>7960</v>
      </c>
    </row>
    <row r="2582" spans="1:7" x14ac:dyDescent="0.3">
      <c r="A2582" s="1" t="s">
        <v>13</v>
      </c>
      <c r="B2582" s="1" t="s">
        <v>8356</v>
      </c>
      <c r="C2582" s="1" t="s">
        <v>8357</v>
      </c>
      <c r="D2582" s="1" t="s">
        <v>7892</v>
      </c>
      <c r="G2582" s="1" t="s">
        <v>8358</v>
      </c>
    </row>
    <row r="2583" spans="1:7" x14ac:dyDescent="0.3">
      <c r="A2583" s="1" t="s">
        <v>13</v>
      </c>
      <c r="B2583" s="1" t="s">
        <v>8359</v>
      </c>
      <c r="C2583" s="1" t="s">
        <v>8360</v>
      </c>
      <c r="D2583" s="1" t="s">
        <v>7892</v>
      </c>
      <c r="G2583" s="1" t="s">
        <v>8361</v>
      </c>
    </row>
    <row r="2584" spans="1:7" x14ac:dyDescent="0.3">
      <c r="A2584" s="1" t="s">
        <v>13</v>
      </c>
      <c r="B2584" s="1" t="s">
        <v>8362</v>
      </c>
      <c r="C2584" s="1" t="s">
        <v>8363</v>
      </c>
      <c r="D2584" s="1" t="s">
        <v>7892</v>
      </c>
      <c r="G2584" s="1" t="s">
        <v>8364</v>
      </c>
    </row>
    <row r="2585" spans="1:7" x14ac:dyDescent="0.3">
      <c r="A2585" s="1" t="s">
        <v>13</v>
      </c>
      <c r="B2585" s="1" t="s">
        <v>8365</v>
      </c>
      <c r="C2585" s="1" t="s">
        <v>8366</v>
      </c>
      <c r="D2585" s="1" t="s">
        <v>7892</v>
      </c>
      <c r="G2585" s="1" t="s">
        <v>8367</v>
      </c>
    </row>
    <row r="2586" spans="1:7" x14ac:dyDescent="0.3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G2586" s="1" t="s">
        <v>8370</v>
      </c>
    </row>
    <row r="2587" spans="1:7" x14ac:dyDescent="0.3">
      <c r="A2587" s="1" t="s">
        <v>83</v>
      </c>
      <c r="B2587" s="1" t="s">
        <v>8371</v>
      </c>
      <c r="C2587" s="1" t="s">
        <v>8372</v>
      </c>
      <c r="D2587" s="1" t="s">
        <v>7892</v>
      </c>
      <c r="F2587" s="1" t="s">
        <v>8373</v>
      </c>
      <c r="G2587" s="1" t="s">
        <v>8374</v>
      </c>
    </row>
    <row r="2588" spans="1:7" x14ac:dyDescent="0.3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G2588" s="1" t="s">
        <v>8377</v>
      </c>
    </row>
    <row r="2589" spans="1:7" x14ac:dyDescent="0.3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G2589" s="1" t="s">
        <v>8380</v>
      </c>
    </row>
    <row r="2590" spans="1:7" x14ac:dyDescent="0.3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G2590" s="1" t="s">
        <v>8383</v>
      </c>
    </row>
    <row r="2591" spans="1:7" x14ac:dyDescent="0.3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G2591" s="1" t="s">
        <v>8385</v>
      </c>
    </row>
    <row r="2592" spans="1:7" x14ac:dyDescent="0.3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G2592" s="1" t="s">
        <v>8388</v>
      </c>
    </row>
    <row r="2593" spans="1:7" x14ac:dyDescent="0.3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G2593" s="1" t="s">
        <v>8391</v>
      </c>
    </row>
    <row r="2594" spans="1:7" x14ac:dyDescent="0.3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G2594" s="1" t="s">
        <v>8394</v>
      </c>
    </row>
    <row r="2595" spans="1:7" x14ac:dyDescent="0.3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 x14ac:dyDescent="0.3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G2596" s="1" t="s">
        <v>8280</v>
      </c>
    </row>
    <row r="2597" spans="1:7" x14ac:dyDescent="0.3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G2597" s="1" t="s">
        <v>8120</v>
      </c>
    </row>
    <row r="2598" spans="1:7" x14ac:dyDescent="0.3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G2598" s="1" t="s">
        <v>8405</v>
      </c>
    </row>
    <row r="2599" spans="1:7" x14ac:dyDescent="0.3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G2599" s="1" t="s">
        <v>8408</v>
      </c>
    </row>
    <row r="2600" spans="1:7" x14ac:dyDescent="0.3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 x14ac:dyDescent="0.3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 x14ac:dyDescent="0.3">
      <c r="A2602" s="1" t="s">
        <v>30</v>
      </c>
      <c r="B2602" s="1" t="s">
        <v>8417</v>
      </c>
      <c r="C2602" s="1" t="s">
        <v>8418</v>
      </c>
      <c r="D2602" s="1" t="s">
        <v>8414</v>
      </c>
      <c r="G2602" s="1" t="s">
        <v>8419</v>
      </c>
    </row>
    <row r="2603" spans="1:7" x14ac:dyDescent="0.3">
      <c r="A2603" s="1" t="s">
        <v>30</v>
      </c>
      <c r="B2603" s="1" t="s">
        <v>8420</v>
      </c>
      <c r="C2603" s="1" t="s">
        <v>8421</v>
      </c>
      <c r="D2603" s="1" t="s">
        <v>8414</v>
      </c>
      <c r="G2603" s="1" t="s">
        <v>8422</v>
      </c>
    </row>
    <row r="2604" spans="1:7" x14ac:dyDescent="0.3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 x14ac:dyDescent="0.3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G2605" s="1" t="s">
        <v>8429</v>
      </c>
    </row>
    <row r="2606" spans="1:7" x14ac:dyDescent="0.3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 x14ac:dyDescent="0.3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 x14ac:dyDescent="0.3">
      <c r="A2608" s="1" t="s">
        <v>30</v>
      </c>
      <c r="B2608" s="1" t="s">
        <v>2882</v>
      </c>
      <c r="C2608" s="1" t="s">
        <v>8438</v>
      </c>
      <c r="D2608" s="1" t="s">
        <v>8414</v>
      </c>
      <c r="F2608" s="1" t="s">
        <v>8439</v>
      </c>
      <c r="G2608" s="1" t="s">
        <v>8440</v>
      </c>
    </row>
    <row r="2609" spans="1:7" x14ac:dyDescent="0.3">
      <c r="A2609" s="1" t="s">
        <v>21</v>
      </c>
      <c r="B2609" s="1" t="s">
        <v>8441</v>
      </c>
      <c r="C2609" s="1" t="s">
        <v>8442</v>
      </c>
      <c r="D2609" s="1" t="s">
        <v>8414</v>
      </c>
      <c r="G2609" s="1" t="s">
        <v>8443</v>
      </c>
    </row>
    <row r="2610" spans="1:7" x14ac:dyDescent="0.3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 x14ac:dyDescent="0.3">
      <c r="A2611" s="1" t="s">
        <v>36</v>
      </c>
      <c r="B2611" s="1" t="s">
        <v>8449</v>
      </c>
      <c r="C2611" s="1" t="s">
        <v>8450</v>
      </c>
      <c r="D2611" s="1" t="s">
        <v>8414</v>
      </c>
      <c r="G2611" s="1" t="s">
        <v>5981</v>
      </c>
    </row>
    <row r="2612" spans="1:7" x14ac:dyDescent="0.3">
      <c r="A2612" s="1" t="s">
        <v>30</v>
      </c>
      <c r="B2612" s="1" t="s">
        <v>8451</v>
      </c>
      <c r="C2612" s="1" t="s">
        <v>8452</v>
      </c>
      <c r="D2612" s="1" t="s">
        <v>8414</v>
      </c>
      <c r="F2612" s="1" t="s">
        <v>8453</v>
      </c>
      <c r="G2612" s="1" t="s">
        <v>8454</v>
      </c>
    </row>
    <row r="2613" spans="1:7" x14ac:dyDescent="0.3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 x14ac:dyDescent="0.3">
      <c r="A2614" s="1" t="s">
        <v>30</v>
      </c>
      <c r="B2614" s="1" t="s">
        <v>8461</v>
      </c>
      <c r="C2614" s="1" t="s">
        <v>8462</v>
      </c>
      <c r="D2614" s="1" t="s">
        <v>8457</v>
      </c>
      <c r="G2614" s="1" t="s">
        <v>8463</v>
      </c>
    </row>
    <row r="2615" spans="1:7" x14ac:dyDescent="0.3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 x14ac:dyDescent="0.3">
      <c r="A2616" s="1" t="s">
        <v>30</v>
      </c>
      <c r="B2616" s="1" t="s">
        <v>8468</v>
      </c>
      <c r="C2616" s="1" t="s">
        <v>8469</v>
      </c>
      <c r="D2616" s="1" t="s">
        <v>8457</v>
      </c>
      <c r="F2616" s="1" t="s">
        <v>8470</v>
      </c>
      <c r="G2616" s="1" t="s">
        <v>8471</v>
      </c>
    </row>
    <row r="2617" spans="1:7" x14ac:dyDescent="0.3">
      <c r="A2617" s="1" t="s">
        <v>89</v>
      </c>
      <c r="B2617" s="1" t="s">
        <v>138</v>
      </c>
      <c r="D2617" s="1" t="s">
        <v>8457</v>
      </c>
      <c r="G2617" s="1" t="s">
        <v>8472</v>
      </c>
    </row>
    <row r="2618" spans="1:7" x14ac:dyDescent="0.3">
      <c r="A2618" s="1" t="s">
        <v>7</v>
      </c>
      <c r="B2618" s="1" t="s">
        <v>8473</v>
      </c>
      <c r="C2618" s="1" t="s">
        <v>8474</v>
      </c>
      <c r="D2618" s="1" t="s">
        <v>8457</v>
      </c>
      <c r="G2618" s="1" t="s">
        <v>8475</v>
      </c>
    </row>
    <row r="2619" spans="1:7" x14ac:dyDescent="0.3">
      <c r="A2619" s="1" t="s">
        <v>30</v>
      </c>
      <c r="B2619" s="1" t="s">
        <v>8476</v>
      </c>
      <c r="C2619" s="1" t="s">
        <v>8477</v>
      </c>
      <c r="D2619" s="1" t="s">
        <v>8457</v>
      </c>
      <c r="G2619" s="1" t="s">
        <v>8478</v>
      </c>
    </row>
    <row r="2620" spans="1:7" x14ac:dyDescent="0.3">
      <c r="A2620" s="1" t="s">
        <v>30</v>
      </c>
      <c r="B2620" s="1" t="s">
        <v>8479</v>
      </c>
      <c r="C2620" s="1" t="s">
        <v>8480</v>
      </c>
      <c r="D2620" s="1" t="s">
        <v>8457</v>
      </c>
      <c r="G2620" s="1" t="s">
        <v>8475</v>
      </c>
    </row>
    <row r="2621" spans="1:7" x14ac:dyDescent="0.3">
      <c r="A2621" s="1" t="s">
        <v>30</v>
      </c>
      <c r="B2621" s="1" t="s">
        <v>8481</v>
      </c>
      <c r="C2621" s="1" t="s">
        <v>8482</v>
      </c>
      <c r="D2621" s="1" t="s">
        <v>8457</v>
      </c>
      <c r="F2621" s="1" t="s">
        <v>8483</v>
      </c>
      <c r="G2621" s="1" t="s">
        <v>8484</v>
      </c>
    </row>
    <row r="2622" spans="1:7" x14ac:dyDescent="0.3">
      <c r="A2622" s="1" t="s">
        <v>30</v>
      </c>
      <c r="B2622" s="1" t="s">
        <v>8485</v>
      </c>
      <c r="C2622" s="1" t="s">
        <v>8486</v>
      </c>
      <c r="D2622" s="1" t="s">
        <v>8457</v>
      </c>
      <c r="F2622" s="1" t="s">
        <v>8487</v>
      </c>
      <c r="G2622" s="1" t="s">
        <v>8488</v>
      </c>
    </row>
    <row r="2623" spans="1:7" x14ac:dyDescent="0.3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 x14ac:dyDescent="0.3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 x14ac:dyDescent="0.3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G2625" s="1" t="s">
        <v>8499</v>
      </c>
    </row>
    <row r="2626" spans="1:7" x14ac:dyDescent="0.3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 x14ac:dyDescent="0.3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 x14ac:dyDescent="0.3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 x14ac:dyDescent="0.3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 x14ac:dyDescent="0.3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 x14ac:dyDescent="0.3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 x14ac:dyDescent="0.3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G2632" s="1" t="s">
        <v>8525</v>
      </c>
    </row>
    <row r="2633" spans="1:7" x14ac:dyDescent="0.3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 x14ac:dyDescent="0.3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G2634" s="1" t="s">
        <v>8531</v>
      </c>
    </row>
    <row r="2635" spans="1:7" x14ac:dyDescent="0.3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 x14ac:dyDescent="0.3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G2636" s="1" t="s">
        <v>8539</v>
      </c>
    </row>
    <row r="2637" spans="1:7" x14ac:dyDescent="0.3">
      <c r="A2637" s="1" t="s">
        <v>36</v>
      </c>
      <c r="B2637" s="1" t="s">
        <v>8540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 x14ac:dyDescent="0.3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 x14ac:dyDescent="0.3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 x14ac:dyDescent="0.3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 x14ac:dyDescent="0.3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 x14ac:dyDescent="0.3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 x14ac:dyDescent="0.3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 x14ac:dyDescent="0.3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 x14ac:dyDescent="0.3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 x14ac:dyDescent="0.3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G2646" s="1" t="s">
        <v>8579</v>
      </c>
    </row>
    <row r="2647" spans="1:7" x14ac:dyDescent="0.3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 x14ac:dyDescent="0.3">
      <c r="A2648" s="1" t="s">
        <v>36</v>
      </c>
      <c r="B2648" s="1" t="s">
        <v>8584</v>
      </c>
      <c r="C2648" s="1" t="s">
        <v>8585</v>
      </c>
      <c r="D2648" s="1" t="s">
        <v>8457</v>
      </c>
      <c r="G2648" s="1" t="s">
        <v>8586</v>
      </c>
    </row>
    <row r="2649" spans="1:7" x14ac:dyDescent="0.3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 x14ac:dyDescent="0.3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 x14ac:dyDescent="0.3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 x14ac:dyDescent="0.3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G2652" s="1" t="s">
        <v>8601</v>
      </c>
    </row>
    <row r="2653" spans="1:7" x14ac:dyDescent="0.3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G2653" s="1" t="s">
        <v>8604</v>
      </c>
    </row>
    <row r="2654" spans="1:7" x14ac:dyDescent="0.3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 x14ac:dyDescent="0.3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 x14ac:dyDescent="0.3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G2656" s="1" t="s">
        <v>8616</v>
      </c>
    </row>
    <row r="2657" spans="1:7" x14ac:dyDescent="0.3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G2657" s="1" t="s">
        <v>8619</v>
      </c>
    </row>
    <row r="2658" spans="1:7" x14ac:dyDescent="0.3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G2658" s="1" t="s">
        <v>8622</v>
      </c>
    </row>
    <row r="2659" spans="1:7" x14ac:dyDescent="0.3">
      <c r="A2659" s="1" t="s">
        <v>7</v>
      </c>
      <c r="B2659" s="1" t="s">
        <v>8623</v>
      </c>
      <c r="C2659" s="1" t="s">
        <v>8624</v>
      </c>
      <c r="D2659" s="1" t="s">
        <v>8611</v>
      </c>
      <c r="F2659" s="1" t="s">
        <v>8625</v>
      </c>
      <c r="G2659" s="1" t="s">
        <v>8626</v>
      </c>
    </row>
    <row r="2660" spans="1:7" x14ac:dyDescent="0.3">
      <c r="A2660" s="1" t="s">
        <v>30</v>
      </c>
      <c r="B2660" s="1" t="s">
        <v>8627</v>
      </c>
      <c r="C2660" s="1" t="s">
        <v>8628</v>
      </c>
      <c r="D2660" s="1" t="s">
        <v>8611</v>
      </c>
      <c r="G2660" s="1" t="s">
        <v>8629</v>
      </c>
    </row>
    <row r="2661" spans="1:7" x14ac:dyDescent="0.3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 x14ac:dyDescent="0.3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 x14ac:dyDescent="0.3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</row>
    <row r="2664" spans="1:7" x14ac:dyDescent="0.3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 x14ac:dyDescent="0.3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G2665" s="1" t="s">
        <v>8646</v>
      </c>
    </row>
    <row r="2666" spans="1:7" x14ac:dyDescent="0.3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 x14ac:dyDescent="0.3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 x14ac:dyDescent="0.3">
      <c r="A2668" s="1" t="s">
        <v>30</v>
      </c>
      <c r="B2668" s="1" t="s">
        <v>8655</v>
      </c>
      <c r="C2668" s="1" t="s">
        <v>8656</v>
      </c>
      <c r="D2668" s="1" t="s">
        <v>8611</v>
      </c>
      <c r="G2668" s="1" t="s">
        <v>8657</v>
      </c>
    </row>
    <row r="2669" spans="1:7" x14ac:dyDescent="0.3">
      <c r="A2669" s="1" t="s">
        <v>30</v>
      </c>
      <c r="B2669" s="1" t="s">
        <v>8658</v>
      </c>
      <c r="C2669" s="1" t="s">
        <v>8659</v>
      </c>
      <c r="D2669" s="1" t="s">
        <v>8611</v>
      </c>
      <c r="G2669" s="1" t="s">
        <v>8660</v>
      </c>
    </row>
    <row r="2670" spans="1:7" x14ac:dyDescent="0.3">
      <c r="A2670" s="1" t="s">
        <v>13</v>
      </c>
      <c r="B2670" s="1" t="s">
        <v>8661</v>
      </c>
      <c r="C2670" s="1" t="s">
        <v>8662</v>
      </c>
      <c r="D2670" s="1" t="s">
        <v>8611</v>
      </c>
      <c r="G2670" s="1" t="s">
        <v>8663</v>
      </c>
    </row>
    <row r="2671" spans="1:7" x14ac:dyDescent="0.3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G2671" s="1" t="s">
        <v>8666</v>
      </c>
    </row>
    <row r="2672" spans="1:7" x14ac:dyDescent="0.3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 x14ac:dyDescent="0.3">
      <c r="A2673" s="1" t="s">
        <v>30</v>
      </c>
      <c r="B2673" s="1" t="s">
        <v>8672</v>
      </c>
      <c r="C2673" s="1" t="s">
        <v>8673</v>
      </c>
      <c r="D2673" s="1" t="s">
        <v>8611</v>
      </c>
      <c r="G2673" s="1" t="s">
        <v>8674</v>
      </c>
    </row>
    <row r="2674" spans="1:7" x14ac:dyDescent="0.3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 x14ac:dyDescent="0.3">
      <c r="A2675" s="1" t="s">
        <v>30</v>
      </c>
      <c r="B2675" s="1" t="s">
        <v>8680</v>
      </c>
      <c r="C2675" s="1" t="s">
        <v>8681</v>
      </c>
      <c r="D2675" s="1" t="s">
        <v>8611</v>
      </c>
      <c r="F2675" s="1" t="s">
        <v>8682</v>
      </c>
      <c r="G2675" s="1" t="s">
        <v>8683</v>
      </c>
    </row>
    <row r="2676" spans="1:7" x14ac:dyDescent="0.3">
      <c r="A2676" s="1" t="s">
        <v>30</v>
      </c>
      <c r="B2676" s="1" t="s">
        <v>8684</v>
      </c>
      <c r="C2676" s="1" t="s">
        <v>8685</v>
      </c>
      <c r="D2676" s="1" t="s">
        <v>8686</v>
      </c>
      <c r="F2676" s="1" t="s">
        <v>8687</v>
      </c>
      <c r="G2676" s="1" t="s">
        <v>8688</v>
      </c>
    </row>
    <row r="2677" spans="1:7" x14ac:dyDescent="0.3">
      <c r="A2677" s="1" t="s">
        <v>30</v>
      </c>
      <c r="B2677" s="1" t="s">
        <v>8689</v>
      </c>
      <c r="C2677" s="1" t="s">
        <v>8690</v>
      </c>
      <c r="D2677" s="1" t="s">
        <v>8686</v>
      </c>
      <c r="G2677" s="1" t="s">
        <v>8691</v>
      </c>
    </row>
    <row r="2678" spans="1:7" x14ac:dyDescent="0.3">
      <c r="A2678" s="1" t="s">
        <v>13</v>
      </c>
      <c r="B2678" s="1" t="s">
        <v>8692</v>
      </c>
      <c r="C2678" s="1" t="s">
        <v>8693</v>
      </c>
      <c r="D2678" s="1" t="s">
        <v>8686</v>
      </c>
      <c r="G2678" s="1" t="s">
        <v>8694</v>
      </c>
    </row>
    <row r="2679" spans="1:7" x14ac:dyDescent="0.3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 x14ac:dyDescent="0.3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 x14ac:dyDescent="0.3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G2681" s="1" t="s">
        <v>8705</v>
      </c>
    </row>
    <row r="2682" spans="1:7" x14ac:dyDescent="0.3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G2682" s="1" t="s">
        <v>8708</v>
      </c>
    </row>
    <row r="2683" spans="1:7" x14ac:dyDescent="0.3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 x14ac:dyDescent="0.3">
      <c r="A2684" s="1" t="s">
        <v>30</v>
      </c>
      <c r="B2684" s="1" t="s">
        <v>8713</v>
      </c>
      <c r="C2684" s="1" t="s">
        <v>8714</v>
      </c>
      <c r="D2684" s="1" t="s">
        <v>8686</v>
      </c>
      <c r="G2684" s="1" t="s">
        <v>8715</v>
      </c>
    </row>
    <row r="2685" spans="1:7" x14ac:dyDescent="0.3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G2685" s="1" t="s">
        <v>8719</v>
      </c>
    </row>
    <row r="2686" spans="1:7" x14ac:dyDescent="0.3">
      <c r="A2686" s="1" t="s">
        <v>7</v>
      </c>
      <c r="B2686" s="1" t="s">
        <v>8720</v>
      </c>
      <c r="C2686" s="1" t="s">
        <v>8721</v>
      </c>
      <c r="D2686" s="1" t="s">
        <v>8722</v>
      </c>
      <c r="G2686" s="1" t="s">
        <v>8723</v>
      </c>
    </row>
    <row r="2687" spans="1:7" x14ac:dyDescent="0.3">
      <c r="A2687" s="1" t="s">
        <v>30</v>
      </c>
      <c r="B2687" s="1" t="s">
        <v>8724</v>
      </c>
      <c r="C2687" s="1" t="s">
        <v>8725</v>
      </c>
      <c r="D2687" s="1" t="s">
        <v>8722</v>
      </c>
      <c r="F2687" s="1" t="s">
        <v>8726</v>
      </c>
      <c r="G2687" s="1" t="s">
        <v>8727</v>
      </c>
    </row>
    <row r="2688" spans="1:7" x14ac:dyDescent="0.3">
      <c r="A2688" s="1" t="s">
        <v>30</v>
      </c>
      <c r="B2688" s="1" t="s">
        <v>8728</v>
      </c>
      <c r="C2688" s="1" t="s">
        <v>8729</v>
      </c>
      <c r="D2688" s="1" t="s">
        <v>8722</v>
      </c>
      <c r="F2688" s="1" t="s">
        <v>8730</v>
      </c>
      <c r="G2688" s="1" t="s">
        <v>8731</v>
      </c>
    </row>
    <row r="2689" spans="1:7" x14ac:dyDescent="0.3">
      <c r="A2689" s="1" t="s">
        <v>30</v>
      </c>
      <c r="B2689" s="1" t="s">
        <v>8732</v>
      </c>
      <c r="C2689" s="1" t="s">
        <v>8733</v>
      </c>
      <c r="D2689" s="1" t="s">
        <v>8734</v>
      </c>
      <c r="F2689" s="1" t="s">
        <v>8735</v>
      </c>
      <c r="G2689" s="1" t="s">
        <v>8736</v>
      </c>
    </row>
    <row r="2690" spans="1:7" x14ac:dyDescent="0.3">
      <c r="A2690" s="1" t="s">
        <v>30</v>
      </c>
      <c r="B2690" s="1" t="s">
        <v>8737</v>
      </c>
      <c r="C2690" s="1" t="s">
        <v>8738</v>
      </c>
      <c r="D2690" s="1" t="s">
        <v>8734</v>
      </c>
      <c r="F2690" s="1" t="s">
        <v>8739</v>
      </c>
      <c r="G2690" s="1" t="s">
        <v>8740</v>
      </c>
    </row>
    <row r="2691" spans="1:7" x14ac:dyDescent="0.3">
      <c r="A2691" s="1" t="s">
        <v>30</v>
      </c>
      <c r="B2691" s="1" t="s">
        <v>8741</v>
      </c>
      <c r="C2691" s="1" t="s">
        <v>8742</v>
      </c>
      <c r="D2691" s="1" t="s">
        <v>8734</v>
      </c>
      <c r="F2691" s="1" t="s">
        <v>8743</v>
      </c>
      <c r="G2691" s="1" t="s">
        <v>8744</v>
      </c>
    </row>
    <row r="2692" spans="1:7" x14ac:dyDescent="0.3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 x14ac:dyDescent="0.3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 x14ac:dyDescent="0.3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 x14ac:dyDescent="0.3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G2695" s="1" t="s">
        <v>8760</v>
      </c>
    </row>
    <row r="2696" spans="1:7" x14ac:dyDescent="0.3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G2696" s="1" t="s">
        <v>8763</v>
      </c>
    </row>
    <row r="2697" spans="1:7" x14ac:dyDescent="0.3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G2697" s="1" t="s">
        <v>8767</v>
      </c>
    </row>
    <row r="2698" spans="1:7" x14ac:dyDescent="0.3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 x14ac:dyDescent="0.3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 x14ac:dyDescent="0.3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 x14ac:dyDescent="0.3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 x14ac:dyDescent="0.3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 x14ac:dyDescent="0.3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G2703" s="1" t="s">
        <v>8788</v>
      </c>
    </row>
    <row r="2704" spans="1:7" x14ac:dyDescent="0.3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 x14ac:dyDescent="0.3">
      <c r="A2705" s="1" t="s">
        <v>89</v>
      </c>
      <c r="B2705" s="1" t="s">
        <v>8793</v>
      </c>
      <c r="D2705" s="1" t="s">
        <v>8766</v>
      </c>
    </row>
    <row r="2706" spans="1:7" x14ac:dyDescent="0.3">
      <c r="A2706" s="1" t="s">
        <v>30</v>
      </c>
      <c r="B2706" s="1" t="s">
        <v>8794</v>
      </c>
      <c r="C2706" s="1" t="s">
        <v>8795</v>
      </c>
      <c r="D2706" s="1" t="s">
        <v>8766</v>
      </c>
      <c r="G2706" s="1" t="s">
        <v>8796</v>
      </c>
    </row>
    <row r="2707" spans="1:7" x14ac:dyDescent="0.3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 x14ac:dyDescent="0.3">
      <c r="A2708" s="1" t="s">
        <v>30</v>
      </c>
      <c r="B2708" s="1" t="s">
        <v>8802</v>
      </c>
      <c r="C2708" s="1" t="s">
        <v>8803</v>
      </c>
      <c r="D2708" s="1" t="s">
        <v>8804</v>
      </c>
      <c r="G2708" s="1" t="s">
        <v>8805</v>
      </c>
    </row>
    <row r="2709" spans="1:7" x14ac:dyDescent="0.3">
      <c r="A2709" s="1" t="s">
        <v>30</v>
      </c>
      <c r="B2709" s="1" t="s">
        <v>8806</v>
      </c>
      <c r="C2709" s="1" t="s">
        <v>8807</v>
      </c>
      <c r="D2709" s="1" t="s">
        <v>8804</v>
      </c>
      <c r="G2709" s="1" t="s">
        <v>8808</v>
      </c>
    </row>
    <row r="2710" spans="1:7" x14ac:dyDescent="0.3">
      <c r="A2710" s="1" t="s">
        <v>36</v>
      </c>
      <c r="B2710" s="1" t="s">
        <v>8809</v>
      </c>
      <c r="C2710" s="1" t="s">
        <v>8810</v>
      </c>
      <c r="D2710" s="1" t="s">
        <v>8804</v>
      </c>
      <c r="F2710" s="1" t="s">
        <v>8811</v>
      </c>
      <c r="G2710" s="1" t="s">
        <v>8812</v>
      </c>
    </row>
    <row r="2711" spans="1:7" x14ac:dyDescent="0.3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 x14ac:dyDescent="0.3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 x14ac:dyDescent="0.3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G2713" s="1" t="s">
        <v>8823</v>
      </c>
    </row>
    <row r="2714" spans="1:7" x14ac:dyDescent="0.3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 x14ac:dyDescent="0.3">
      <c r="A2715" s="1" t="s">
        <v>30</v>
      </c>
      <c r="B2715" s="1" t="s">
        <v>8828</v>
      </c>
      <c r="C2715" s="1" t="s">
        <v>8829</v>
      </c>
      <c r="D2715" s="1" t="s">
        <v>8804</v>
      </c>
      <c r="F2715" s="1" t="s">
        <v>8830</v>
      </c>
      <c r="G2715" s="1" t="s">
        <v>8831</v>
      </c>
    </row>
    <row r="2716" spans="1:7" x14ac:dyDescent="0.3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</row>
    <row r="2717" spans="1:7" x14ac:dyDescent="0.3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G2717" s="1" t="s">
        <v>7373</v>
      </c>
    </row>
    <row r="2718" spans="1:7" x14ac:dyDescent="0.3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G2718" s="1" t="s">
        <v>8840</v>
      </c>
    </row>
    <row r="2719" spans="1:7" x14ac:dyDescent="0.3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G2719" s="1" t="s">
        <v>8840</v>
      </c>
    </row>
    <row r="2720" spans="1:7" x14ac:dyDescent="0.3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 x14ac:dyDescent="0.3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G2721" s="1" t="s">
        <v>8849</v>
      </c>
    </row>
    <row r="2722" spans="1:7" x14ac:dyDescent="0.3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 x14ac:dyDescent="0.3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</row>
    <row r="2724" spans="1:7" x14ac:dyDescent="0.3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G2724" s="1" t="s">
        <v>8860</v>
      </c>
    </row>
    <row r="2725" spans="1:7" x14ac:dyDescent="0.3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</row>
    <row r="2726" spans="1:7" x14ac:dyDescent="0.3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</row>
    <row r="2727" spans="1:7" x14ac:dyDescent="0.3">
      <c r="A2727" s="1" t="s">
        <v>7</v>
      </c>
      <c r="B2727" s="1" t="s">
        <v>8866</v>
      </c>
      <c r="C2727" s="1" t="s">
        <v>8867</v>
      </c>
      <c r="D2727" s="1" t="s">
        <v>8852</v>
      </c>
      <c r="F2727" s="1" t="s">
        <v>8868</v>
      </c>
      <c r="G2727" s="1" t="s">
        <v>8869</v>
      </c>
    </row>
    <row r="2728" spans="1:7" x14ac:dyDescent="0.3">
      <c r="A2728" s="1" t="s">
        <v>83</v>
      </c>
      <c r="B2728" s="1" t="s">
        <v>8870</v>
      </c>
      <c r="C2728" s="1" t="s">
        <v>8871</v>
      </c>
      <c r="D2728" s="1" t="s">
        <v>8852</v>
      </c>
      <c r="G2728" s="1" t="s">
        <v>8872</v>
      </c>
    </row>
    <row r="2729" spans="1:7" x14ac:dyDescent="0.3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 x14ac:dyDescent="0.3">
      <c r="A2730" s="1" t="s">
        <v>83</v>
      </c>
      <c r="B2730" s="1" t="s">
        <v>8878</v>
      </c>
      <c r="C2730" s="1" t="s">
        <v>8879</v>
      </c>
      <c r="D2730" s="1" t="s">
        <v>8852</v>
      </c>
    </row>
    <row r="2731" spans="1:7" x14ac:dyDescent="0.3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 x14ac:dyDescent="0.3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G2732" s="1" t="s">
        <v>8887</v>
      </c>
    </row>
    <row r="2733" spans="1:7" x14ac:dyDescent="0.3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 x14ac:dyDescent="0.3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</row>
    <row r="2735" spans="1:7" x14ac:dyDescent="0.3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G2735" s="1" t="s">
        <v>8897</v>
      </c>
    </row>
    <row r="2736" spans="1:7" x14ac:dyDescent="0.3">
      <c r="A2736" s="1" t="s">
        <v>30</v>
      </c>
      <c r="B2736" s="1" t="s">
        <v>8898</v>
      </c>
      <c r="C2736" s="1" t="s">
        <v>7394</v>
      </c>
      <c r="D2736" s="1" t="s">
        <v>8852</v>
      </c>
      <c r="F2736" s="1" t="s">
        <v>8899</v>
      </c>
      <c r="G2736" s="1" t="s">
        <v>8900</v>
      </c>
    </row>
    <row r="2737" spans="1:7" x14ac:dyDescent="0.3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 x14ac:dyDescent="0.3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 x14ac:dyDescent="0.3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G2739" s="1" t="s">
        <v>8914</v>
      </c>
    </row>
    <row r="2740" spans="1:7" x14ac:dyDescent="0.3">
      <c r="A2740" s="1" t="s">
        <v>83</v>
      </c>
      <c r="B2740" s="1" t="s">
        <v>8915</v>
      </c>
      <c r="C2740" s="1" t="s">
        <v>8916</v>
      </c>
      <c r="D2740" s="1" t="s">
        <v>8852</v>
      </c>
      <c r="F2740" s="1" t="s">
        <v>8917</v>
      </c>
      <c r="G2740" s="1" t="s">
        <v>8918</v>
      </c>
    </row>
    <row r="2741" spans="1:7" x14ac:dyDescent="0.3">
      <c r="A2741" s="1" t="s">
        <v>13</v>
      </c>
      <c r="B2741" s="1" t="s">
        <v>8919</v>
      </c>
      <c r="C2741" s="1" t="s">
        <v>8920</v>
      </c>
      <c r="D2741" s="1" t="s">
        <v>8852</v>
      </c>
      <c r="G2741" s="1" t="s">
        <v>8921</v>
      </c>
    </row>
    <row r="2742" spans="1:7" x14ac:dyDescent="0.3">
      <c r="A2742" s="1" t="s">
        <v>572</v>
      </c>
      <c r="B2742" s="1" t="s">
        <v>8922</v>
      </c>
      <c r="C2742" s="1" t="s">
        <v>8923</v>
      </c>
      <c r="D2742" s="1" t="s">
        <v>8852</v>
      </c>
      <c r="F2742" s="1" t="s">
        <v>8924</v>
      </c>
      <c r="G2742" s="1" t="s">
        <v>8887</v>
      </c>
    </row>
    <row r="2743" spans="1:7" x14ac:dyDescent="0.3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 x14ac:dyDescent="0.3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 x14ac:dyDescent="0.3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G2745" s="1" t="s">
        <v>8937</v>
      </c>
    </row>
    <row r="2746" spans="1:7" x14ac:dyDescent="0.3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</row>
    <row r="2747" spans="1:7" x14ac:dyDescent="0.3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G2747" s="1" t="s">
        <v>8943</v>
      </c>
    </row>
    <row r="2748" spans="1:7" x14ac:dyDescent="0.3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G2748" s="1" t="s">
        <v>8946</v>
      </c>
    </row>
    <row r="2749" spans="1:7" x14ac:dyDescent="0.3">
      <c r="A2749" s="1" t="s">
        <v>36</v>
      </c>
      <c r="B2749" s="1" t="s">
        <v>8947</v>
      </c>
      <c r="C2749" s="1" t="s">
        <v>8948</v>
      </c>
      <c r="D2749" s="1" t="s">
        <v>8852</v>
      </c>
      <c r="G2749" s="1" t="s">
        <v>8949</v>
      </c>
    </row>
    <row r="2750" spans="1:7" x14ac:dyDescent="0.3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G2750" s="1" t="s">
        <v>8953</v>
      </c>
    </row>
    <row r="2751" spans="1:7" x14ac:dyDescent="0.3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 x14ac:dyDescent="0.3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G2752" s="1" t="s">
        <v>8962</v>
      </c>
    </row>
    <row r="2753" spans="1:7" x14ac:dyDescent="0.3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G2753" s="1" t="s">
        <v>8965</v>
      </c>
    </row>
    <row r="2754" spans="1:7" x14ac:dyDescent="0.3">
      <c r="A2754" s="1" t="s">
        <v>30</v>
      </c>
      <c r="B2754" s="1" t="s">
        <v>8966</v>
      </c>
      <c r="C2754" s="1" t="s">
        <v>8967</v>
      </c>
      <c r="D2754" s="1" t="s">
        <v>8952</v>
      </c>
      <c r="G2754" s="1" t="s">
        <v>8968</v>
      </c>
    </row>
    <row r="2755" spans="1:7" x14ac:dyDescent="0.3">
      <c r="A2755" s="1" t="s">
        <v>21</v>
      </c>
      <c r="B2755" s="1" t="s">
        <v>8969</v>
      </c>
      <c r="C2755" s="1" t="s">
        <v>8970</v>
      </c>
      <c r="D2755" s="1" t="s">
        <v>8952</v>
      </c>
      <c r="F2755" s="1" t="s">
        <v>8971</v>
      </c>
      <c r="G2755" s="1" t="s">
        <v>8972</v>
      </c>
    </row>
    <row r="2756" spans="1:7" x14ac:dyDescent="0.3">
      <c r="A2756" s="1" t="s">
        <v>30</v>
      </c>
      <c r="B2756" s="1" t="s">
        <v>8973</v>
      </c>
      <c r="C2756" s="1" t="s">
        <v>8974</v>
      </c>
      <c r="D2756" s="1" t="s">
        <v>8952</v>
      </c>
      <c r="G2756" s="1" t="s">
        <v>8975</v>
      </c>
    </row>
    <row r="2757" spans="1:7" x14ac:dyDescent="0.3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 x14ac:dyDescent="0.3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G2758" s="1" t="s">
        <v>8982</v>
      </c>
    </row>
    <row r="2759" spans="1:7" x14ac:dyDescent="0.3">
      <c r="A2759" s="1" t="s">
        <v>404</v>
      </c>
      <c r="B2759" s="1" t="s">
        <v>8983</v>
      </c>
      <c r="C2759" s="1" t="s">
        <v>8984</v>
      </c>
      <c r="D2759" s="1" t="s">
        <v>8952</v>
      </c>
      <c r="F2759" s="1" t="s">
        <v>8985</v>
      </c>
      <c r="G2759" s="1" t="s">
        <v>8986</v>
      </c>
    </row>
    <row r="2760" spans="1:7" x14ac:dyDescent="0.3">
      <c r="A2760" s="1" t="s">
        <v>404</v>
      </c>
      <c r="B2760" s="1" t="s">
        <v>8987</v>
      </c>
      <c r="C2760" s="1" t="s">
        <v>8988</v>
      </c>
      <c r="D2760" s="1" t="s">
        <v>8952</v>
      </c>
      <c r="F2760" s="1" t="s">
        <v>8985</v>
      </c>
      <c r="G2760" s="1" t="s">
        <v>8986</v>
      </c>
    </row>
    <row r="2761" spans="1:7" x14ac:dyDescent="0.3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G2761" s="1" t="s">
        <v>8992</v>
      </c>
    </row>
    <row r="2762" spans="1:7" x14ac:dyDescent="0.3">
      <c r="A2762" s="1" t="s">
        <v>30</v>
      </c>
      <c r="B2762" s="1" t="s">
        <v>8993</v>
      </c>
      <c r="C2762" s="1" t="s">
        <v>8994</v>
      </c>
      <c r="D2762" s="1" t="s">
        <v>8952</v>
      </c>
      <c r="G2762" s="1" t="s">
        <v>8995</v>
      </c>
    </row>
    <row r="2763" spans="1:7" x14ac:dyDescent="0.3">
      <c r="A2763" s="1" t="s">
        <v>83</v>
      </c>
      <c r="B2763" s="1" t="s">
        <v>8996</v>
      </c>
      <c r="C2763" s="1" t="s">
        <v>8997</v>
      </c>
      <c r="D2763" s="1" t="s">
        <v>8952</v>
      </c>
      <c r="F2763" s="1" t="s">
        <v>8998</v>
      </c>
      <c r="G2763" s="1" t="s">
        <v>8999</v>
      </c>
    </row>
    <row r="2764" spans="1:7" x14ac:dyDescent="0.3">
      <c r="A2764" s="1" t="s">
        <v>30</v>
      </c>
      <c r="B2764" s="1" t="s">
        <v>9000</v>
      </c>
      <c r="C2764" s="1" t="s">
        <v>9001</v>
      </c>
      <c r="D2764" s="1" t="s">
        <v>8952</v>
      </c>
      <c r="G2764" s="1" t="s">
        <v>9002</v>
      </c>
    </row>
    <row r="2765" spans="1:7" x14ac:dyDescent="0.3">
      <c r="A2765" s="1" t="s">
        <v>36</v>
      </c>
      <c r="B2765" s="1" t="s">
        <v>9003</v>
      </c>
      <c r="C2765" s="1" t="s">
        <v>9004</v>
      </c>
      <c r="D2765" s="1" t="s">
        <v>8952</v>
      </c>
      <c r="F2765" s="1" t="s">
        <v>9005</v>
      </c>
      <c r="G2765" s="1" t="s">
        <v>9006</v>
      </c>
    </row>
    <row r="2766" spans="1:7" x14ac:dyDescent="0.3">
      <c r="A2766" s="1" t="s">
        <v>7</v>
      </c>
      <c r="B2766" s="1" t="s">
        <v>9007</v>
      </c>
      <c r="C2766" s="1" t="s">
        <v>9008</v>
      </c>
      <c r="D2766" s="1" t="s">
        <v>8952</v>
      </c>
      <c r="G2766" s="1" t="s">
        <v>9009</v>
      </c>
    </row>
    <row r="2767" spans="1:7" x14ac:dyDescent="0.3">
      <c r="A2767" s="1" t="s">
        <v>30</v>
      </c>
      <c r="B2767" s="1" t="s">
        <v>9010</v>
      </c>
      <c r="C2767" s="1" t="s">
        <v>9011</v>
      </c>
      <c r="D2767" s="1" t="s">
        <v>8952</v>
      </c>
      <c r="F2767" s="1" t="s">
        <v>9012</v>
      </c>
      <c r="G2767" s="1" t="s">
        <v>9013</v>
      </c>
    </row>
    <row r="2768" spans="1:7" x14ac:dyDescent="0.3">
      <c r="A2768" s="1" t="s">
        <v>83</v>
      </c>
      <c r="B2768" s="1" t="s">
        <v>9014</v>
      </c>
      <c r="C2768" s="1" t="s">
        <v>9015</v>
      </c>
      <c r="D2768" s="1" t="s">
        <v>8952</v>
      </c>
      <c r="G2768" s="1" t="s">
        <v>9016</v>
      </c>
    </row>
    <row r="2769" spans="1:7" x14ac:dyDescent="0.3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G2769" s="1" t="s">
        <v>9019</v>
      </c>
    </row>
    <row r="2770" spans="1:7" x14ac:dyDescent="0.3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G2770" s="1" t="s">
        <v>9019</v>
      </c>
    </row>
    <row r="2771" spans="1:7" x14ac:dyDescent="0.3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G2771" s="1" t="s">
        <v>9024</v>
      </c>
    </row>
    <row r="2772" spans="1:7" x14ac:dyDescent="0.3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G2772" s="1" t="s">
        <v>9027</v>
      </c>
    </row>
    <row r="2773" spans="1:7" x14ac:dyDescent="0.3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G2773" s="1" t="s">
        <v>9031</v>
      </c>
    </row>
    <row r="2774" spans="1:7" x14ac:dyDescent="0.3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G2774" s="1" t="s">
        <v>9034</v>
      </c>
    </row>
    <row r="2775" spans="1:7" x14ac:dyDescent="0.3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G2775" s="1" t="s">
        <v>9034</v>
      </c>
    </row>
    <row r="2776" spans="1:7" x14ac:dyDescent="0.3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G2776" s="1" t="s">
        <v>9034</v>
      </c>
    </row>
    <row r="2777" spans="1:7" x14ac:dyDescent="0.3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G2777" s="1" t="s">
        <v>9040</v>
      </c>
    </row>
    <row r="2778" spans="1:7" x14ac:dyDescent="0.3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G2778" s="1" t="s">
        <v>9043</v>
      </c>
    </row>
    <row r="2779" spans="1:7" x14ac:dyDescent="0.3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G2779" s="1" t="s">
        <v>9046</v>
      </c>
    </row>
    <row r="2780" spans="1:7" x14ac:dyDescent="0.3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G2780" s="1" t="s">
        <v>9049</v>
      </c>
    </row>
    <row r="2781" spans="1:7" x14ac:dyDescent="0.3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G2781" s="1" t="s">
        <v>9052</v>
      </c>
    </row>
    <row r="2782" spans="1:7" x14ac:dyDescent="0.3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G2782" s="1" t="s">
        <v>9055</v>
      </c>
    </row>
    <row r="2783" spans="1:7" x14ac:dyDescent="0.3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G2783" s="1" t="s">
        <v>9055</v>
      </c>
    </row>
    <row r="2784" spans="1:7" x14ac:dyDescent="0.3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G2784" s="1" t="s">
        <v>9060</v>
      </c>
    </row>
    <row r="2785" spans="1:7" x14ac:dyDescent="0.3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G2785" s="1" t="s">
        <v>9063</v>
      </c>
    </row>
    <row r="2786" spans="1:7" x14ac:dyDescent="0.3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G2786" s="1" t="s">
        <v>9066</v>
      </c>
    </row>
    <row r="2787" spans="1:7" x14ac:dyDescent="0.3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G2787" s="1" t="s">
        <v>9069</v>
      </c>
    </row>
    <row r="2788" spans="1:7" x14ac:dyDescent="0.3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G2788" s="1" t="s">
        <v>9040</v>
      </c>
    </row>
    <row r="2789" spans="1:7" x14ac:dyDescent="0.3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G2789" s="1" t="s">
        <v>9074</v>
      </c>
    </row>
    <row r="2790" spans="1:7" x14ac:dyDescent="0.3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G2790" s="1" t="s">
        <v>9040</v>
      </c>
    </row>
    <row r="2791" spans="1:7" x14ac:dyDescent="0.3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G2791" s="1" t="s">
        <v>9080</v>
      </c>
    </row>
    <row r="2792" spans="1:7" x14ac:dyDescent="0.3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G2792" s="1" t="s">
        <v>9040</v>
      </c>
    </row>
    <row r="2793" spans="1:7" x14ac:dyDescent="0.3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G2793" s="1" t="s">
        <v>9040</v>
      </c>
    </row>
    <row r="2794" spans="1:7" x14ac:dyDescent="0.3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G2794" s="1" t="s">
        <v>9040</v>
      </c>
    </row>
    <row r="2795" spans="1:7" x14ac:dyDescent="0.3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G2795" s="1" t="s">
        <v>9040</v>
      </c>
    </row>
    <row r="2796" spans="1:7" x14ac:dyDescent="0.3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G2796" s="1" t="s">
        <v>9040</v>
      </c>
    </row>
    <row r="2797" spans="1:7" x14ac:dyDescent="0.3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G2797" s="1" t="s">
        <v>9040</v>
      </c>
    </row>
    <row r="2798" spans="1:7" x14ac:dyDescent="0.3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G2798" s="1" t="s">
        <v>9095</v>
      </c>
    </row>
    <row r="2799" spans="1:7" x14ac:dyDescent="0.3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G2799" s="1" t="s">
        <v>9040</v>
      </c>
    </row>
    <row r="2800" spans="1:7" x14ac:dyDescent="0.3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G2800" s="1" t="s">
        <v>9100</v>
      </c>
    </row>
    <row r="2801" spans="1:7" x14ac:dyDescent="0.3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G2801" s="1" t="s">
        <v>9040</v>
      </c>
    </row>
    <row r="2802" spans="1:7" x14ac:dyDescent="0.3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G2802" s="1" t="s">
        <v>9040</v>
      </c>
    </row>
    <row r="2803" spans="1:7" x14ac:dyDescent="0.3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G2803" s="1" t="s">
        <v>9043</v>
      </c>
    </row>
    <row r="2804" spans="1:7" x14ac:dyDescent="0.3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G2804" s="1" t="s">
        <v>9110</v>
      </c>
    </row>
    <row r="2805" spans="1:7" x14ac:dyDescent="0.3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</row>
    <row r="2806" spans="1:7" x14ac:dyDescent="0.3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G2806" s="1" t="s">
        <v>9114</v>
      </c>
    </row>
    <row r="2807" spans="1:7" x14ac:dyDescent="0.3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G2807" s="1" t="s">
        <v>9040</v>
      </c>
    </row>
    <row r="2808" spans="1:7" x14ac:dyDescent="0.3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G2808" s="1" t="s">
        <v>9043</v>
      </c>
    </row>
    <row r="2809" spans="1:7" x14ac:dyDescent="0.3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G2809" s="1" t="s">
        <v>9121</v>
      </c>
    </row>
    <row r="2810" spans="1:7" x14ac:dyDescent="0.3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G2810" s="1" t="s">
        <v>9124</v>
      </c>
    </row>
    <row r="2811" spans="1:7" x14ac:dyDescent="0.3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G2811" s="1" t="s">
        <v>9127</v>
      </c>
    </row>
    <row r="2812" spans="1:7" x14ac:dyDescent="0.3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G2812" s="1" t="s">
        <v>9040</v>
      </c>
    </row>
    <row r="2813" spans="1:7" x14ac:dyDescent="0.3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G2813" s="1" t="s">
        <v>9040</v>
      </c>
    </row>
    <row r="2814" spans="1:7" x14ac:dyDescent="0.3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G2814" s="1" t="s">
        <v>9040</v>
      </c>
    </row>
    <row r="2815" spans="1:7" x14ac:dyDescent="0.3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G2815" s="1" t="s">
        <v>9040</v>
      </c>
    </row>
    <row r="2816" spans="1:7" x14ac:dyDescent="0.3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G2816" s="1" t="s">
        <v>9138</v>
      </c>
    </row>
    <row r="2817" spans="1:7" x14ac:dyDescent="0.3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G2817" s="1" t="s">
        <v>9040</v>
      </c>
    </row>
    <row r="2818" spans="1:7" x14ac:dyDescent="0.3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G2818" s="1" t="s">
        <v>7737</v>
      </c>
    </row>
    <row r="2819" spans="1:7" x14ac:dyDescent="0.3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G2819" s="1" t="s">
        <v>7737</v>
      </c>
    </row>
    <row r="2820" spans="1:7" x14ac:dyDescent="0.3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G2820" s="1" t="s">
        <v>9040</v>
      </c>
    </row>
    <row r="2821" spans="1:7" x14ac:dyDescent="0.3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G2821" s="1" t="s">
        <v>9148</v>
      </c>
    </row>
    <row r="2822" spans="1:7" x14ac:dyDescent="0.3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G2822" s="1" t="s">
        <v>9151</v>
      </c>
    </row>
    <row r="2823" spans="1:7" x14ac:dyDescent="0.3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G2823" s="1" t="s">
        <v>9154</v>
      </c>
    </row>
    <row r="2824" spans="1:7" x14ac:dyDescent="0.3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G2824" s="1" t="s">
        <v>9157</v>
      </c>
    </row>
    <row r="2825" spans="1:7" x14ac:dyDescent="0.3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G2825" s="1" t="s">
        <v>9157</v>
      </c>
    </row>
    <row r="2826" spans="1:7" x14ac:dyDescent="0.3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G2826" s="1" t="s">
        <v>9157</v>
      </c>
    </row>
    <row r="2827" spans="1:7" x14ac:dyDescent="0.3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</row>
    <row r="2828" spans="1:7" x14ac:dyDescent="0.3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G2828" s="1" t="s">
        <v>9166</v>
      </c>
    </row>
    <row r="2829" spans="1:7" x14ac:dyDescent="0.3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G2829" s="1" t="s">
        <v>9040</v>
      </c>
    </row>
    <row r="2830" spans="1:7" x14ac:dyDescent="0.3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G2830" s="1" t="s">
        <v>9040</v>
      </c>
    </row>
    <row r="2831" spans="1:7" x14ac:dyDescent="0.3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G2831" s="1" t="s">
        <v>9174</v>
      </c>
    </row>
    <row r="2832" spans="1:7" x14ac:dyDescent="0.3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G2832" s="1" t="s">
        <v>9040</v>
      </c>
    </row>
    <row r="2833" spans="1:7" x14ac:dyDescent="0.3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G2833" s="1" t="s">
        <v>9178</v>
      </c>
    </row>
    <row r="2834" spans="1:7" x14ac:dyDescent="0.3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G2834" s="1" t="s">
        <v>9181</v>
      </c>
    </row>
    <row r="2835" spans="1:7" x14ac:dyDescent="0.3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G2835" s="1" t="s">
        <v>9040</v>
      </c>
    </row>
    <row r="2836" spans="1:7" x14ac:dyDescent="0.3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G2836" s="1" t="s">
        <v>9186</v>
      </c>
    </row>
    <row r="2837" spans="1:7" x14ac:dyDescent="0.3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G2837" s="1" t="s">
        <v>9040</v>
      </c>
    </row>
    <row r="2838" spans="1:7" x14ac:dyDescent="0.3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G2838" s="1" t="s">
        <v>9191</v>
      </c>
    </row>
    <row r="2839" spans="1:7" x14ac:dyDescent="0.3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G2839" s="1" t="s">
        <v>9194</v>
      </c>
    </row>
    <row r="2840" spans="1:7" x14ac:dyDescent="0.3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G2840" s="1" t="s">
        <v>9197</v>
      </c>
    </row>
    <row r="2841" spans="1:7" x14ac:dyDescent="0.3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G2841" s="1" t="s">
        <v>9197</v>
      </c>
    </row>
    <row r="2842" spans="1:7" x14ac:dyDescent="0.3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G2842" s="1" t="s">
        <v>9040</v>
      </c>
    </row>
    <row r="2843" spans="1:7" x14ac:dyDescent="0.3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G2843" s="1" t="s">
        <v>9040</v>
      </c>
    </row>
    <row r="2844" spans="1:7" x14ac:dyDescent="0.3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G2844" s="1" t="s">
        <v>9206</v>
      </c>
    </row>
    <row r="2845" spans="1:7" x14ac:dyDescent="0.3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G2845" s="1" t="s">
        <v>9209</v>
      </c>
    </row>
    <row r="2846" spans="1:7" x14ac:dyDescent="0.3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G2846" s="1" t="s">
        <v>9040</v>
      </c>
    </row>
    <row r="2847" spans="1:7" x14ac:dyDescent="0.3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G2847" s="1" t="s">
        <v>9214</v>
      </c>
    </row>
    <row r="2848" spans="1:7" x14ac:dyDescent="0.3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G2848" s="1" t="s">
        <v>9214</v>
      </c>
    </row>
    <row r="2849" spans="1:7" x14ac:dyDescent="0.3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G2849" s="1" t="s">
        <v>9040</v>
      </c>
    </row>
    <row r="2850" spans="1:7" x14ac:dyDescent="0.3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G2850" s="1" t="s">
        <v>9221</v>
      </c>
    </row>
    <row r="2851" spans="1:7" x14ac:dyDescent="0.3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G2851" s="1" t="s">
        <v>9224</v>
      </c>
    </row>
    <row r="2852" spans="1:7" x14ac:dyDescent="0.3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G2852" s="1" t="s">
        <v>9227</v>
      </c>
    </row>
    <row r="2853" spans="1:7" x14ac:dyDescent="0.3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G2853" s="1" t="s">
        <v>9230</v>
      </c>
    </row>
    <row r="2854" spans="1:7" x14ac:dyDescent="0.3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G2854" s="1" t="s">
        <v>9233</v>
      </c>
    </row>
    <row r="2855" spans="1:7" x14ac:dyDescent="0.3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G2855" s="1" t="s">
        <v>9040</v>
      </c>
    </row>
    <row r="2856" spans="1:7" x14ac:dyDescent="0.3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G2856" s="1" t="s">
        <v>9238</v>
      </c>
    </row>
    <row r="2857" spans="1:7" x14ac:dyDescent="0.3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G2857" s="1" t="s">
        <v>9100</v>
      </c>
    </row>
    <row r="2858" spans="1:7" x14ac:dyDescent="0.3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G2858" s="1" t="s">
        <v>9040</v>
      </c>
    </row>
    <row r="2859" spans="1:7" x14ac:dyDescent="0.3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G2859" s="1" t="s">
        <v>9244</v>
      </c>
    </row>
    <row r="2860" spans="1:7" x14ac:dyDescent="0.3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G2860" s="1" t="s">
        <v>9040</v>
      </c>
    </row>
    <row r="2861" spans="1:7" x14ac:dyDescent="0.3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G2861" s="1" t="s">
        <v>9040</v>
      </c>
    </row>
    <row r="2862" spans="1:7" x14ac:dyDescent="0.3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G2862" s="1" t="s">
        <v>9100</v>
      </c>
    </row>
    <row r="2863" spans="1:7" x14ac:dyDescent="0.3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G2863" s="1" t="s">
        <v>9040</v>
      </c>
    </row>
    <row r="2864" spans="1:7" x14ac:dyDescent="0.3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G2864" s="1" t="s">
        <v>9040</v>
      </c>
    </row>
    <row r="2865" spans="1:7" x14ac:dyDescent="0.3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G2865" s="1" t="s">
        <v>9040</v>
      </c>
    </row>
    <row r="2866" spans="1:7" x14ac:dyDescent="0.3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G2866" s="1" t="s">
        <v>9040</v>
      </c>
    </row>
    <row r="2867" spans="1:7" x14ac:dyDescent="0.3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G2867" s="1" t="s">
        <v>9259</v>
      </c>
    </row>
    <row r="2868" spans="1:7" x14ac:dyDescent="0.3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G2868" s="1" t="s">
        <v>9262</v>
      </c>
    </row>
    <row r="2869" spans="1:7" x14ac:dyDescent="0.3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G2869" s="1" t="s">
        <v>9265</v>
      </c>
    </row>
    <row r="2870" spans="1:7" x14ac:dyDescent="0.3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 x14ac:dyDescent="0.3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G2871" s="1" t="s">
        <v>9271</v>
      </c>
    </row>
    <row r="2872" spans="1:7" x14ac:dyDescent="0.3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 x14ac:dyDescent="0.3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G2873" s="1" t="s">
        <v>9278</v>
      </c>
    </row>
    <row r="2874" spans="1:7" x14ac:dyDescent="0.3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G2874" s="1" t="s">
        <v>9040</v>
      </c>
    </row>
    <row r="2875" spans="1:7" x14ac:dyDescent="0.3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</row>
    <row r="2876" spans="1:7" x14ac:dyDescent="0.3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G2876" s="1" t="s">
        <v>9285</v>
      </c>
    </row>
    <row r="2877" spans="1:7" x14ac:dyDescent="0.3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G2877" s="1" t="s">
        <v>9040</v>
      </c>
    </row>
    <row r="2878" spans="1:7" x14ac:dyDescent="0.3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G2878" s="1" t="s">
        <v>9040</v>
      </c>
    </row>
    <row r="2879" spans="1:7" x14ac:dyDescent="0.3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G2879" s="1" t="s">
        <v>9292</v>
      </c>
    </row>
    <row r="2880" spans="1:7" x14ac:dyDescent="0.3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G2880" s="1" t="s">
        <v>9040</v>
      </c>
    </row>
    <row r="2881" spans="1:7" x14ac:dyDescent="0.3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</row>
    <row r="2882" spans="1:7" x14ac:dyDescent="0.3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G2882" s="1" t="s">
        <v>9040</v>
      </c>
    </row>
    <row r="2883" spans="1:7" x14ac:dyDescent="0.3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G2883" s="1" t="s">
        <v>9040</v>
      </c>
    </row>
    <row r="2884" spans="1:7" x14ac:dyDescent="0.3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G2884" s="1" t="s">
        <v>9302</v>
      </c>
    </row>
    <row r="2885" spans="1:7" x14ac:dyDescent="0.3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G2885" s="1" t="s">
        <v>9305</v>
      </c>
    </row>
    <row r="2886" spans="1:7" x14ac:dyDescent="0.3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G2886" s="1" t="s">
        <v>9040</v>
      </c>
    </row>
    <row r="2887" spans="1:7" x14ac:dyDescent="0.3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G2887" s="1" t="s">
        <v>9040</v>
      </c>
    </row>
    <row r="2888" spans="1:7" x14ac:dyDescent="0.3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G2888" s="1" t="s">
        <v>9312</v>
      </c>
    </row>
    <row r="2889" spans="1:7" x14ac:dyDescent="0.3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G2889" s="1" t="s">
        <v>9315</v>
      </c>
    </row>
    <row r="2890" spans="1:7" x14ac:dyDescent="0.3">
      <c r="A2890" s="1" t="s">
        <v>21</v>
      </c>
      <c r="B2890" s="1" t="s">
        <v>9316</v>
      </c>
      <c r="C2890" s="1" t="s">
        <v>9317</v>
      </c>
      <c r="D2890" s="1" t="s">
        <v>8952</v>
      </c>
      <c r="F2890" s="1" t="s">
        <v>9318</v>
      </c>
      <c r="G2890" s="1" t="s">
        <v>9319</v>
      </c>
    </row>
    <row r="2891" spans="1:7" x14ac:dyDescent="0.3">
      <c r="A2891" s="1" t="s">
        <v>83</v>
      </c>
      <c r="B2891" s="1" t="s">
        <v>9320</v>
      </c>
      <c r="C2891" s="1" t="s">
        <v>9321</v>
      </c>
      <c r="D2891" s="1" t="s">
        <v>8952</v>
      </c>
      <c r="G2891" s="1" t="s">
        <v>9322</v>
      </c>
    </row>
    <row r="2892" spans="1:7" x14ac:dyDescent="0.3">
      <c r="A2892" s="1" t="s">
        <v>83</v>
      </c>
      <c r="B2892" s="1" t="s">
        <v>9323</v>
      </c>
      <c r="C2892" s="1" t="s">
        <v>9324</v>
      </c>
      <c r="D2892" s="1" t="s">
        <v>8952</v>
      </c>
      <c r="G2892" s="1" t="s">
        <v>9322</v>
      </c>
    </row>
    <row r="2893" spans="1:7" x14ac:dyDescent="0.3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 x14ac:dyDescent="0.3">
      <c r="A2894" s="1" t="s">
        <v>30</v>
      </c>
      <c r="B2894" s="1" t="s">
        <v>9329</v>
      </c>
      <c r="C2894" s="1" t="s">
        <v>9330</v>
      </c>
      <c r="D2894" s="1" t="s">
        <v>8952</v>
      </c>
      <c r="G2894" s="1" t="s">
        <v>9331</v>
      </c>
    </row>
    <row r="2895" spans="1:7" x14ac:dyDescent="0.3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 x14ac:dyDescent="0.3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G2896" s="1" t="s">
        <v>9337</v>
      </c>
    </row>
    <row r="2897" spans="1:7" x14ac:dyDescent="0.3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 x14ac:dyDescent="0.3">
      <c r="A2898" s="1" t="s">
        <v>30</v>
      </c>
      <c r="B2898" s="1" t="s">
        <v>9343</v>
      </c>
      <c r="C2898" s="1" t="s">
        <v>9344</v>
      </c>
      <c r="D2898" s="1" t="s">
        <v>8952</v>
      </c>
      <c r="G2898" s="1" t="s">
        <v>9345</v>
      </c>
    </row>
    <row r="2899" spans="1:7" x14ac:dyDescent="0.3">
      <c r="A2899" s="1" t="s">
        <v>30</v>
      </c>
      <c r="B2899" s="1" t="s">
        <v>9346</v>
      </c>
      <c r="C2899" s="1" t="s">
        <v>9347</v>
      </c>
      <c r="D2899" s="1" t="s">
        <v>8952</v>
      </c>
      <c r="G2899" s="1" t="s">
        <v>9348</v>
      </c>
    </row>
    <row r="2900" spans="1:7" x14ac:dyDescent="0.3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G2900" s="1" t="s">
        <v>9352</v>
      </c>
    </row>
    <row r="2901" spans="1:7" x14ac:dyDescent="0.3">
      <c r="A2901" s="1" t="s">
        <v>30</v>
      </c>
      <c r="B2901" s="1" t="s">
        <v>9353</v>
      </c>
      <c r="C2901" s="1" t="s">
        <v>9354</v>
      </c>
      <c r="D2901" s="1" t="s">
        <v>8952</v>
      </c>
      <c r="G2901" s="1" t="s">
        <v>9355</v>
      </c>
    </row>
    <row r="2902" spans="1:7" x14ac:dyDescent="0.3">
      <c r="A2902" s="1" t="s">
        <v>7</v>
      </c>
      <c r="B2902" s="1" t="s">
        <v>9356</v>
      </c>
      <c r="C2902" s="1" t="s">
        <v>9357</v>
      </c>
      <c r="D2902" s="1" t="s">
        <v>8952</v>
      </c>
      <c r="G2902" s="1" t="s">
        <v>9358</v>
      </c>
    </row>
    <row r="2903" spans="1:7" x14ac:dyDescent="0.3">
      <c r="A2903" s="1" t="s">
        <v>83</v>
      </c>
      <c r="B2903" s="1" t="s">
        <v>9359</v>
      </c>
      <c r="C2903" s="1" t="s">
        <v>9360</v>
      </c>
      <c r="D2903" s="1" t="s">
        <v>8952</v>
      </c>
      <c r="G2903" s="1" t="s">
        <v>9361</v>
      </c>
    </row>
    <row r="2904" spans="1:7" x14ac:dyDescent="0.3">
      <c r="A2904" s="1" t="s">
        <v>83</v>
      </c>
      <c r="B2904" s="1" t="s">
        <v>9362</v>
      </c>
      <c r="C2904" s="1" t="s">
        <v>9363</v>
      </c>
      <c r="D2904" s="1" t="s">
        <v>8952</v>
      </c>
      <c r="G2904" s="1" t="s">
        <v>9361</v>
      </c>
    </row>
    <row r="2905" spans="1:7" x14ac:dyDescent="0.3">
      <c r="A2905" s="1" t="s">
        <v>30</v>
      </c>
      <c r="B2905" s="1" t="s">
        <v>9364</v>
      </c>
      <c r="C2905" s="1" t="s">
        <v>9365</v>
      </c>
      <c r="D2905" s="1" t="s">
        <v>8952</v>
      </c>
      <c r="F2905" s="1" t="s">
        <v>9366</v>
      </c>
      <c r="G2905" s="1" t="s">
        <v>9367</v>
      </c>
    </row>
    <row r="2906" spans="1:7" x14ac:dyDescent="0.3">
      <c r="A2906" s="1" t="s">
        <v>30</v>
      </c>
      <c r="B2906" s="1" t="s">
        <v>9368</v>
      </c>
      <c r="C2906" s="1" t="s">
        <v>9369</v>
      </c>
      <c r="D2906" s="1" t="s">
        <v>8952</v>
      </c>
      <c r="G2906" s="1" t="s">
        <v>9370</v>
      </c>
    </row>
    <row r="2907" spans="1:7" x14ac:dyDescent="0.3">
      <c r="A2907" s="1" t="s">
        <v>30</v>
      </c>
      <c r="B2907" s="1" t="s">
        <v>9371</v>
      </c>
      <c r="C2907" s="1" t="s">
        <v>9372</v>
      </c>
      <c r="D2907" s="1" t="s">
        <v>8952</v>
      </c>
    </row>
    <row r="2908" spans="1:7" x14ac:dyDescent="0.3">
      <c r="A2908" s="1" t="s">
        <v>404</v>
      </c>
      <c r="B2908" s="1" t="s">
        <v>9373</v>
      </c>
      <c r="C2908" s="1" t="s">
        <v>9374</v>
      </c>
      <c r="D2908" s="1" t="s">
        <v>8952</v>
      </c>
      <c r="G2908" s="1" t="s">
        <v>9375</v>
      </c>
    </row>
    <row r="2909" spans="1:7" x14ac:dyDescent="0.3">
      <c r="A2909" s="1" t="s">
        <v>30</v>
      </c>
      <c r="B2909" s="1" t="s">
        <v>9376</v>
      </c>
      <c r="C2909" s="1" t="s">
        <v>9377</v>
      </c>
      <c r="D2909" s="1" t="s">
        <v>8952</v>
      </c>
      <c r="G2909" s="1" t="s">
        <v>9378</v>
      </c>
    </row>
    <row r="2910" spans="1:7" x14ac:dyDescent="0.3">
      <c r="A2910" s="1" t="s">
        <v>21</v>
      </c>
      <c r="B2910" s="1" t="s">
        <v>9379</v>
      </c>
      <c r="C2910" s="1" t="s">
        <v>9380</v>
      </c>
      <c r="D2910" s="1" t="s">
        <v>8952</v>
      </c>
      <c r="F2910" s="1" t="s">
        <v>9381</v>
      </c>
      <c r="G2910" s="1" t="s">
        <v>9382</v>
      </c>
    </row>
    <row r="2911" spans="1:7" x14ac:dyDescent="0.3">
      <c r="A2911" s="1" t="s">
        <v>21</v>
      </c>
      <c r="B2911" s="1" t="s">
        <v>9383</v>
      </c>
      <c r="C2911" s="1" t="s">
        <v>9384</v>
      </c>
      <c r="D2911" s="1" t="s">
        <v>8952</v>
      </c>
      <c r="F2911" s="1" t="s">
        <v>9381</v>
      </c>
      <c r="G2911" s="1" t="s">
        <v>9382</v>
      </c>
    </row>
    <row r="2912" spans="1:7" x14ac:dyDescent="0.3">
      <c r="A2912" s="1" t="s">
        <v>21</v>
      </c>
      <c r="B2912" s="1" t="s">
        <v>9385</v>
      </c>
      <c r="C2912" s="1" t="s">
        <v>9386</v>
      </c>
      <c r="D2912" s="1" t="s">
        <v>8952</v>
      </c>
      <c r="F2912" s="1" t="s">
        <v>9381</v>
      </c>
      <c r="G2912" s="1" t="s">
        <v>9382</v>
      </c>
    </row>
    <row r="2913" spans="1:7" x14ac:dyDescent="0.3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 x14ac:dyDescent="0.3">
      <c r="A2914" s="1" t="s">
        <v>404</v>
      </c>
      <c r="B2914" s="1" t="s">
        <v>9391</v>
      </c>
      <c r="C2914" s="1" t="s">
        <v>9392</v>
      </c>
      <c r="D2914" s="1" t="s">
        <v>8952</v>
      </c>
      <c r="G2914" s="1" t="s">
        <v>9393</v>
      </c>
    </row>
    <row r="2915" spans="1:7" x14ac:dyDescent="0.3">
      <c r="A2915" s="1" t="s">
        <v>30</v>
      </c>
      <c r="B2915" s="1" t="s">
        <v>8034</v>
      </c>
      <c r="C2915" s="1" t="s">
        <v>9394</v>
      </c>
      <c r="D2915" s="1" t="s">
        <v>8952</v>
      </c>
      <c r="G2915" s="1" t="s">
        <v>9395</v>
      </c>
    </row>
    <row r="2916" spans="1:7" x14ac:dyDescent="0.3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 x14ac:dyDescent="0.3">
      <c r="A2917" s="1" t="s">
        <v>30</v>
      </c>
      <c r="B2917" s="1" t="s">
        <v>9400</v>
      </c>
      <c r="C2917" s="1" t="s">
        <v>9401</v>
      </c>
      <c r="D2917" s="1" t="s">
        <v>8952</v>
      </c>
      <c r="G2917" s="1" t="s">
        <v>9402</v>
      </c>
    </row>
    <row r="2918" spans="1:7" x14ac:dyDescent="0.3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 x14ac:dyDescent="0.3">
      <c r="A2919" s="1" t="s">
        <v>30</v>
      </c>
      <c r="B2919" s="1" t="s">
        <v>9407</v>
      </c>
      <c r="C2919" s="1" t="s">
        <v>9408</v>
      </c>
      <c r="D2919" s="1" t="s">
        <v>8952</v>
      </c>
      <c r="G2919" s="1" t="s">
        <v>9409</v>
      </c>
    </row>
    <row r="2920" spans="1:7" x14ac:dyDescent="0.3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</row>
    <row r="2921" spans="1:7" x14ac:dyDescent="0.3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 x14ac:dyDescent="0.3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 x14ac:dyDescent="0.3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G2923" s="1" t="s">
        <v>9423</v>
      </c>
    </row>
    <row r="2924" spans="1:7" x14ac:dyDescent="0.3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G2924" s="1" t="s">
        <v>9426</v>
      </c>
    </row>
    <row r="2925" spans="1:7" x14ac:dyDescent="0.3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</row>
    <row r="2926" spans="1:7" x14ac:dyDescent="0.3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G2926" s="1" t="s">
        <v>9431</v>
      </c>
    </row>
    <row r="2927" spans="1:7" x14ac:dyDescent="0.3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G2927" s="1" t="s">
        <v>9434</v>
      </c>
    </row>
    <row r="2928" spans="1:7" x14ac:dyDescent="0.3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 x14ac:dyDescent="0.3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 x14ac:dyDescent="0.3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 x14ac:dyDescent="0.3">
      <c r="A2931" s="1" t="s">
        <v>30</v>
      </c>
      <c r="B2931" s="1" t="s">
        <v>9448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 x14ac:dyDescent="0.3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 x14ac:dyDescent="0.3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 x14ac:dyDescent="0.3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 x14ac:dyDescent="0.3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 x14ac:dyDescent="0.3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 x14ac:dyDescent="0.3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 x14ac:dyDescent="0.3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 x14ac:dyDescent="0.3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G2939" s="1" t="s">
        <v>9481</v>
      </c>
    </row>
    <row r="2940" spans="1:7" x14ac:dyDescent="0.3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 x14ac:dyDescent="0.3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G2941" s="1" t="s">
        <v>9328</v>
      </c>
    </row>
    <row r="2942" spans="1:7" x14ac:dyDescent="0.3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 x14ac:dyDescent="0.3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 x14ac:dyDescent="0.3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 x14ac:dyDescent="0.3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 x14ac:dyDescent="0.3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 x14ac:dyDescent="0.3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 x14ac:dyDescent="0.3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 x14ac:dyDescent="0.3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 x14ac:dyDescent="0.3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 x14ac:dyDescent="0.3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G2951" s="1" t="s">
        <v>9522</v>
      </c>
    </row>
    <row r="2952" spans="1:7" x14ac:dyDescent="0.3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 x14ac:dyDescent="0.3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 x14ac:dyDescent="0.3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 x14ac:dyDescent="0.3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 x14ac:dyDescent="0.3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 x14ac:dyDescent="0.3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 x14ac:dyDescent="0.3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 x14ac:dyDescent="0.3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G2959" s="1" t="s">
        <v>9552</v>
      </c>
    </row>
    <row r="2960" spans="1:7" x14ac:dyDescent="0.3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 x14ac:dyDescent="0.3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 x14ac:dyDescent="0.3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 x14ac:dyDescent="0.3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 x14ac:dyDescent="0.3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 x14ac:dyDescent="0.3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 x14ac:dyDescent="0.3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 x14ac:dyDescent="0.3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 x14ac:dyDescent="0.3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 x14ac:dyDescent="0.3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 x14ac:dyDescent="0.3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 x14ac:dyDescent="0.3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 x14ac:dyDescent="0.3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 x14ac:dyDescent="0.3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 x14ac:dyDescent="0.3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 x14ac:dyDescent="0.3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</row>
    <row r="2976" spans="1:7" x14ac:dyDescent="0.3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 x14ac:dyDescent="0.3">
      <c r="A2977" s="1" t="s">
        <v>572</v>
      </c>
      <c r="B2977" s="1" t="s">
        <v>9613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 x14ac:dyDescent="0.3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 x14ac:dyDescent="0.3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G2979" s="1" t="s">
        <v>9622</v>
      </c>
    </row>
    <row r="2980" spans="1:7" x14ac:dyDescent="0.3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G2980" s="1" t="s">
        <v>9622</v>
      </c>
    </row>
    <row r="2981" spans="1:7" x14ac:dyDescent="0.3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G2981" s="1" t="s">
        <v>9627</v>
      </c>
    </row>
    <row r="2982" spans="1:7" x14ac:dyDescent="0.3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 x14ac:dyDescent="0.3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 x14ac:dyDescent="0.3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 x14ac:dyDescent="0.3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 x14ac:dyDescent="0.3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 x14ac:dyDescent="0.3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 x14ac:dyDescent="0.3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</row>
    <row r="2989" spans="1:7" x14ac:dyDescent="0.3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 x14ac:dyDescent="0.3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G2990" s="1" t="s">
        <v>9660</v>
      </c>
    </row>
    <row r="2991" spans="1:7" x14ac:dyDescent="0.3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 x14ac:dyDescent="0.3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 x14ac:dyDescent="0.3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 x14ac:dyDescent="0.3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 x14ac:dyDescent="0.3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 x14ac:dyDescent="0.3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 x14ac:dyDescent="0.3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 x14ac:dyDescent="0.3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 x14ac:dyDescent="0.3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 x14ac:dyDescent="0.3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 x14ac:dyDescent="0.3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 x14ac:dyDescent="0.3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 x14ac:dyDescent="0.3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 x14ac:dyDescent="0.3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 x14ac:dyDescent="0.3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 x14ac:dyDescent="0.3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 x14ac:dyDescent="0.3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 x14ac:dyDescent="0.3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 x14ac:dyDescent="0.3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 x14ac:dyDescent="0.3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 x14ac:dyDescent="0.3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 x14ac:dyDescent="0.3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 x14ac:dyDescent="0.3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 x14ac:dyDescent="0.3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 x14ac:dyDescent="0.3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 x14ac:dyDescent="0.3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 x14ac:dyDescent="0.3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 x14ac:dyDescent="0.3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 x14ac:dyDescent="0.3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 x14ac:dyDescent="0.3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 x14ac:dyDescent="0.3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 x14ac:dyDescent="0.3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 x14ac:dyDescent="0.3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 x14ac:dyDescent="0.3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 x14ac:dyDescent="0.3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 x14ac:dyDescent="0.3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G3026" s="1" t="s">
        <v>9788</v>
      </c>
    </row>
    <row r="3027" spans="1:7" x14ac:dyDescent="0.3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 x14ac:dyDescent="0.3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 x14ac:dyDescent="0.3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 x14ac:dyDescent="0.3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 x14ac:dyDescent="0.3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G3031" s="1" t="s">
        <v>9805</v>
      </c>
    </row>
    <row r="3032" spans="1:7" x14ac:dyDescent="0.3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</row>
    <row r="3033" spans="1:7" x14ac:dyDescent="0.3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</row>
    <row r="3034" spans="1:7" x14ac:dyDescent="0.3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</row>
    <row r="3035" spans="1:7" x14ac:dyDescent="0.3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 x14ac:dyDescent="0.3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</row>
    <row r="3037" spans="1:7" x14ac:dyDescent="0.3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G3037" s="1" t="s">
        <v>9817</v>
      </c>
    </row>
    <row r="3038" spans="1:7" x14ac:dyDescent="0.3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 x14ac:dyDescent="0.3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 x14ac:dyDescent="0.3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 x14ac:dyDescent="0.3">
      <c r="A3041" s="1" t="s">
        <v>30</v>
      </c>
      <c r="B3041" s="1" t="s">
        <v>9830</v>
      </c>
      <c r="C3041" s="1" t="s">
        <v>9831</v>
      </c>
      <c r="D3041" s="1" t="s">
        <v>8952</v>
      </c>
      <c r="F3041" s="1" t="s">
        <v>9832</v>
      </c>
      <c r="G3041" s="1" t="s">
        <v>9833</v>
      </c>
    </row>
    <row r="3042" spans="1:7" x14ac:dyDescent="0.3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 x14ac:dyDescent="0.3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 x14ac:dyDescent="0.3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 x14ac:dyDescent="0.3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</row>
    <row r="3046" spans="1:7" x14ac:dyDescent="0.3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</row>
    <row r="3047" spans="1:7" x14ac:dyDescent="0.3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</row>
    <row r="3048" spans="1:7" x14ac:dyDescent="0.3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</row>
    <row r="3049" spans="1:7" x14ac:dyDescent="0.3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</row>
    <row r="3050" spans="1:7" x14ac:dyDescent="0.3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</row>
    <row r="3051" spans="1:7" x14ac:dyDescent="0.3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</row>
    <row r="3052" spans="1:7" x14ac:dyDescent="0.3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</row>
    <row r="3053" spans="1:7" x14ac:dyDescent="0.3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</row>
    <row r="3054" spans="1:7" x14ac:dyDescent="0.3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</row>
    <row r="3055" spans="1:7" x14ac:dyDescent="0.3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</row>
    <row r="3056" spans="1:7" x14ac:dyDescent="0.3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</row>
    <row r="3057" spans="1:7" x14ac:dyDescent="0.3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</row>
    <row r="3058" spans="1:7" x14ac:dyDescent="0.3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</row>
    <row r="3059" spans="1:7" x14ac:dyDescent="0.3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</row>
    <row r="3060" spans="1:7" x14ac:dyDescent="0.3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</row>
    <row r="3061" spans="1:7" x14ac:dyDescent="0.3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</row>
    <row r="3062" spans="1:7" x14ac:dyDescent="0.3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</row>
    <row r="3063" spans="1:7" x14ac:dyDescent="0.3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</row>
    <row r="3064" spans="1:7" x14ac:dyDescent="0.3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 x14ac:dyDescent="0.3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</row>
    <row r="3066" spans="1:7" x14ac:dyDescent="0.3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</row>
    <row r="3067" spans="1:7" x14ac:dyDescent="0.3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</row>
    <row r="3068" spans="1:7" x14ac:dyDescent="0.3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</row>
    <row r="3069" spans="1:7" x14ac:dyDescent="0.3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</row>
    <row r="3070" spans="1:7" x14ac:dyDescent="0.3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</row>
    <row r="3071" spans="1:7" x14ac:dyDescent="0.3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</row>
    <row r="3072" spans="1:7" x14ac:dyDescent="0.3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</row>
    <row r="3073" spans="1:7" x14ac:dyDescent="0.3">
      <c r="A3073" s="1" t="s">
        <v>680</v>
      </c>
      <c r="B3073" s="1" t="s">
        <v>9899</v>
      </c>
      <c r="D3073" s="1" t="s">
        <v>8952</v>
      </c>
      <c r="E3073" s="1" t="s">
        <v>8952</v>
      </c>
    </row>
    <row r="3074" spans="1:7" x14ac:dyDescent="0.3">
      <c r="A3074" s="1" t="s">
        <v>680</v>
      </c>
      <c r="B3074" s="1" t="s">
        <v>9900</v>
      </c>
      <c r="D3074" s="1" t="s">
        <v>8952</v>
      </c>
      <c r="E3074" s="1" t="s">
        <v>8952</v>
      </c>
      <c r="F3074" s="1" t="s">
        <v>9901</v>
      </c>
    </row>
    <row r="3075" spans="1:7" x14ac:dyDescent="0.3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</row>
    <row r="3076" spans="1:7" x14ac:dyDescent="0.3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G3076" s="1" t="s">
        <v>9907</v>
      </c>
    </row>
    <row r="3077" spans="1:7" x14ac:dyDescent="0.3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 x14ac:dyDescent="0.3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</row>
    <row r="3079" spans="1:7" x14ac:dyDescent="0.3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</row>
    <row r="3080" spans="1:7" x14ac:dyDescent="0.3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</row>
    <row r="3081" spans="1:7" x14ac:dyDescent="0.3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</row>
    <row r="3082" spans="1:7" x14ac:dyDescent="0.3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 x14ac:dyDescent="0.3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</row>
    <row r="3084" spans="1:7" x14ac:dyDescent="0.3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</row>
    <row r="3085" spans="1:7" x14ac:dyDescent="0.3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</row>
    <row r="3086" spans="1:7" x14ac:dyDescent="0.3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</row>
    <row r="3087" spans="1:7" x14ac:dyDescent="0.3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</row>
    <row r="3088" spans="1:7" x14ac:dyDescent="0.3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 x14ac:dyDescent="0.3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</row>
    <row r="3090" spans="1:7" x14ac:dyDescent="0.3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</row>
    <row r="3091" spans="1:7" x14ac:dyDescent="0.3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</row>
    <row r="3092" spans="1:7" x14ac:dyDescent="0.3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</row>
    <row r="3093" spans="1:7" x14ac:dyDescent="0.3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 x14ac:dyDescent="0.3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 x14ac:dyDescent="0.3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</row>
    <row r="3096" spans="1:7" x14ac:dyDescent="0.3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</row>
    <row r="3097" spans="1:7" x14ac:dyDescent="0.3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 x14ac:dyDescent="0.3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</row>
    <row r="3099" spans="1:7" x14ac:dyDescent="0.3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</row>
    <row r="3100" spans="1:7" x14ac:dyDescent="0.3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 x14ac:dyDescent="0.3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</row>
    <row r="3102" spans="1:7" x14ac:dyDescent="0.3">
      <c r="A3102" s="1" t="s">
        <v>680</v>
      </c>
      <c r="B3102" s="1" t="s">
        <v>9960</v>
      </c>
      <c r="D3102" s="1" t="s">
        <v>8952</v>
      </c>
      <c r="E3102" s="1" t="s">
        <v>8952</v>
      </c>
    </row>
    <row r="3103" spans="1:7" x14ac:dyDescent="0.3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 x14ac:dyDescent="0.3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</row>
    <row r="3105" spans="1:7" x14ac:dyDescent="0.3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</row>
    <row r="3106" spans="1:7" x14ac:dyDescent="0.3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</row>
    <row r="3107" spans="1:7" x14ac:dyDescent="0.3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</row>
    <row r="3108" spans="1:7" x14ac:dyDescent="0.3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</row>
    <row r="3109" spans="1:7" x14ac:dyDescent="0.3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</row>
    <row r="3110" spans="1:7" x14ac:dyDescent="0.3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</row>
    <row r="3111" spans="1:7" x14ac:dyDescent="0.3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 x14ac:dyDescent="0.3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G3112" s="1" t="s">
        <v>9977</v>
      </c>
    </row>
    <row r="3113" spans="1:7" x14ac:dyDescent="0.3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 x14ac:dyDescent="0.3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</row>
    <row r="3115" spans="1:7" x14ac:dyDescent="0.3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</row>
    <row r="3116" spans="1:7" x14ac:dyDescent="0.3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G3116" s="1" t="s">
        <v>9538</v>
      </c>
    </row>
    <row r="3117" spans="1:7" x14ac:dyDescent="0.3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</row>
    <row r="3118" spans="1:7" x14ac:dyDescent="0.3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</row>
    <row r="3119" spans="1:7" x14ac:dyDescent="0.3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</row>
    <row r="3120" spans="1:7" x14ac:dyDescent="0.3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G3120" s="1" t="s">
        <v>9990</v>
      </c>
    </row>
    <row r="3121" spans="1:7" x14ac:dyDescent="0.3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G3121" s="1" t="s">
        <v>9992</v>
      </c>
    </row>
    <row r="3122" spans="1:7" x14ac:dyDescent="0.3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</row>
    <row r="3123" spans="1:7" x14ac:dyDescent="0.3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</row>
    <row r="3124" spans="1:7" x14ac:dyDescent="0.3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 x14ac:dyDescent="0.3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</row>
    <row r="3126" spans="1:7" x14ac:dyDescent="0.3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</row>
    <row r="3127" spans="1:7" x14ac:dyDescent="0.3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</row>
    <row r="3128" spans="1:7" x14ac:dyDescent="0.3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</row>
    <row r="3129" spans="1:7" x14ac:dyDescent="0.3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</row>
    <row r="3130" spans="1:7" x14ac:dyDescent="0.3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G3130" s="1" t="s">
        <v>10006</v>
      </c>
    </row>
    <row r="3131" spans="1:7" x14ac:dyDescent="0.3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</row>
    <row r="3132" spans="1:7" x14ac:dyDescent="0.3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</row>
    <row r="3133" spans="1:7" x14ac:dyDescent="0.3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 x14ac:dyDescent="0.3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</row>
    <row r="3135" spans="1:7" x14ac:dyDescent="0.3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</row>
    <row r="3136" spans="1:7" x14ac:dyDescent="0.3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 x14ac:dyDescent="0.3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</row>
    <row r="3138" spans="1:7" x14ac:dyDescent="0.3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</row>
    <row r="3139" spans="1:7" x14ac:dyDescent="0.3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</row>
    <row r="3140" spans="1:7" x14ac:dyDescent="0.3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G3140" s="1" t="s">
        <v>10024</v>
      </c>
    </row>
    <row r="3141" spans="1:7" x14ac:dyDescent="0.3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 x14ac:dyDescent="0.3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 x14ac:dyDescent="0.3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</row>
    <row r="3144" spans="1:7" x14ac:dyDescent="0.3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 x14ac:dyDescent="0.3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</row>
    <row r="3146" spans="1:7" x14ac:dyDescent="0.3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</row>
    <row r="3147" spans="1:7" x14ac:dyDescent="0.3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</row>
    <row r="3148" spans="1:7" x14ac:dyDescent="0.3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</row>
    <row r="3149" spans="1:7" x14ac:dyDescent="0.3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</row>
    <row r="3150" spans="1:7" x14ac:dyDescent="0.3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</row>
    <row r="3151" spans="1:7" x14ac:dyDescent="0.3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</row>
    <row r="3152" spans="1:7" x14ac:dyDescent="0.3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</row>
    <row r="3153" spans="1:7" x14ac:dyDescent="0.3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</row>
    <row r="3154" spans="1:7" x14ac:dyDescent="0.3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</row>
    <row r="3155" spans="1:7" x14ac:dyDescent="0.3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</row>
    <row r="3156" spans="1:7" x14ac:dyDescent="0.3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G3156" s="1" t="s">
        <v>10053</v>
      </c>
    </row>
    <row r="3157" spans="1:7" x14ac:dyDescent="0.3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</row>
    <row r="3158" spans="1:7" x14ac:dyDescent="0.3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</row>
    <row r="3159" spans="1:7" x14ac:dyDescent="0.3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</row>
    <row r="3160" spans="1:7" x14ac:dyDescent="0.3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 x14ac:dyDescent="0.3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G3161" s="1" t="s">
        <v>10063</v>
      </c>
    </row>
    <row r="3162" spans="1:7" x14ac:dyDescent="0.3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</row>
    <row r="3163" spans="1:7" x14ac:dyDescent="0.3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</row>
    <row r="3164" spans="1:7" x14ac:dyDescent="0.3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</row>
    <row r="3165" spans="1:7" x14ac:dyDescent="0.3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</row>
    <row r="3166" spans="1:7" x14ac:dyDescent="0.3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</row>
    <row r="3167" spans="1:7" x14ac:dyDescent="0.3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</row>
    <row r="3168" spans="1:7" x14ac:dyDescent="0.3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</row>
    <row r="3169" spans="1:7" x14ac:dyDescent="0.3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</row>
    <row r="3170" spans="1:7" x14ac:dyDescent="0.3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 x14ac:dyDescent="0.3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G3171" s="1" t="s">
        <v>10081</v>
      </c>
    </row>
    <row r="3172" spans="1:7" x14ac:dyDescent="0.3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G3172" s="1" t="s">
        <v>10084</v>
      </c>
    </row>
    <row r="3173" spans="1:7" x14ac:dyDescent="0.3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 x14ac:dyDescent="0.3">
      <c r="A3174" s="1" t="s">
        <v>89</v>
      </c>
      <c r="B3174" s="1" t="s">
        <v>138</v>
      </c>
      <c r="D3174" s="1" t="s">
        <v>10077</v>
      </c>
    </row>
    <row r="3175" spans="1:7" x14ac:dyDescent="0.3">
      <c r="A3175" s="1" t="s">
        <v>30</v>
      </c>
      <c r="B3175" s="1" t="s">
        <v>10089</v>
      </c>
      <c r="C3175" s="1" t="s">
        <v>10090</v>
      </c>
      <c r="D3175" s="1" t="s">
        <v>10077</v>
      </c>
      <c r="F3175" s="1" t="s">
        <v>10091</v>
      </c>
      <c r="G3175" s="1" t="s">
        <v>10092</v>
      </c>
    </row>
    <row r="3176" spans="1:7" x14ac:dyDescent="0.3">
      <c r="A3176" s="1" t="s">
        <v>30</v>
      </c>
      <c r="B3176" s="1" t="s">
        <v>10093</v>
      </c>
      <c r="C3176" s="1" t="s">
        <v>10094</v>
      </c>
      <c r="D3176" s="1" t="s">
        <v>10077</v>
      </c>
      <c r="F3176" s="1" t="s">
        <v>10095</v>
      </c>
      <c r="G3176" s="1" t="s">
        <v>10096</v>
      </c>
    </row>
    <row r="3177" spans="1:7" x14ac:dyDescent="0.3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G3177" s="1" t="s">
        <v>10099</v>
      </c>
    </row>
    <row r="3178" spans="1:7" x14ac:dyDescent="0.3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 x14ac:dyDescent="0.3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 x14ac:dyDescent="0.3">
      <c r="A3180" s="1" t="s">
        <v>13</v>
      </c>
      <c r="B3180" s="1" t="s">
        <v>10109</v>
      </c>
      <c r="C3180" s="1" t="s">
        <v>10110</v>
      </c>
      <c r="D3180" s="1" t="s">
        <v>10077</v>
      </c>
      <c r="G3180" s="1" t="s">
        <v>10111</v>
      </c>
    </row>
    <row r="3181" spans="1:7" x14ac:dyDescent="0.3">
      <c r="A3181" s="1" t="s">
        <v>7</v>
      </c>
      <c r="B3181" s="1" t="s">
        <v>10112</v>
      </c>
      <c r="C3181" s="1" t="s">
        <v>10113</v>
      </c>
      <c r="D3181" s="1" t="s">
        <v>10077</v>
      </c>
      <c r="G3181" s="1" t="s">
        <v>10114</v>
      </c>
    </row>
    <row r="3182" spans="1:7" x14ac:dyDescent="0.3">
      <c r="A3182" s="1" t="s">
        <v>30</v>
      </c>
      <c r="B3182" s="1" t="s">
        <v>10115</v>
      </c>
      <c r="C3182" s="1" t="s">
        <v>10116</v>
      </c>
      <c r="D3182" s="1" t="s">
        <v>10077</v>
      </c>
      <c r="G3182" s="1" t="s">
        <v>10117</v>
      </c>
    </row>
    <row r="3183" spans="1:7" x14ac:dyDescent="0.3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G3183" s="1" t="s">
        <v>10122</v>
      </c>
    </row>
    <row r="3184" spans="1:7" x14ac:dyDescent="0.3">
      <c r="A3184" s="1" t="s">
        <v>7</v>
      </c>
      <c r="B3184" s="1" t="s">
        <v>10123</v>
      </c>
      <c r="C3184" s="1" t="s">
        <v>10124</v>
      </c>
      <c r="D3184" s="1" t="s">
        <v>10120</v>
      </c>
      <c r="F3184" s="1" t="s">
        <v>10125</v>
      </c>
      <c r="G3184" s="1" t="s">
        <v>10126</v>
      </c>
    </row>
    <row r="3185" spans="1:7" x14ac:dyDescent="0.3">
      <c r="A3185" s="1" t="s">
        <v>30</v>
      </c>
      <c r="B3185" s="1" t="s">
        <v>10127</v>
      </c>
      <c r="C3185" s="1" t="s">
        <v>10128</v>
      </c>
      <c r="D3185" s="1" t="s">
        <v>10120</v>
      </c>
      <c r="G3185" s="1" t="s">
        <v>10129</v>
      </c>
    </row>
    <row r="3186" spans="1:7" x14ac:dyDescent="0.3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</row>
    <row r="3187" spans="1:7" x14ac:dyDescent="0.3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G3187" s="1" t="s">
        <v>10129</v>
      </c>
    </row>
    <row r="3188" spans="1:7" x14ac:dyDescent="0.3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 x14ac:dyDescent="0.3">
      <c r="A3189" s="1" t="s">
        <v>89</v>
      </c>
      <c r="B3189" s="1" t="s">
        <v>138</v>
      </c>
      <c r="D3189" s="1" t="s">
        <v>10120</v>
      </c>
      <c r="E3189" s="1" t="s">
        <v>10139</v>
      </c>
    </row>
    <row r="3190" spans="1:7" x14ac:dyDescent="0.3">
      <c r="A3190" s="1" t="s">
        <v>30</v>
      </c>
      <c r="B3190" s="1" t="s">
        <v>10140</v>
      </c>
      <c r="C3190" s="1" t="s">
        <v>10141</v>
      </c>
      <c r="D3190" s="1" t="s">
        <v>10120</v>
      </c>
      <c r="F3190" s="1" t="s">
        <v>10142</v>
      </c>
      <c r="G3190" s="1" t="s">
        <v>10143</v>
      </c>
    </row>
    <row r="3191" spans="1:7" x14ac:dyDescent="0.3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 x14ac:dyDescent="0.3">
      <c r="A3192" s="1" t="s">
        <v>30</v>
      </c>
      <c r="B3192" s="1" t="s">
        <v>10148</v>
      </c>
      <c r="C3192" s="1" t="s">
        <v>10149</v>
      </c>
      <c r="D3192" s="1" t="s">
        <v>10120</v>
      </c>
      <c r="F3192" s="1" t="s">
        <v>10150</v>
      </c>
      <c r="G3192" s="1" t="s">
        <v>10151</v>
      </c>
    </row>
    <row r="3193" spans="1:7" x14ac:dyDescent="0.3">
      <c r="A3193" s="1" t="s">
        <v>30</v>
      </c>
      <c r="B3193" s="1" t="s">
        <v>10152</v>
      </c>
      <c r="C3193" s="1" t="s">
        <v>10153</v>
      </c>
      <c r="D3193" s="1" t="s">
        <v>10120</v>
      </c>
      <c r="F3193" s="1" t="s">
        <v>10154</v>
      </c>
      <c r="G3193" s="1" t="s">
        <v>10155</v>
      </c>
    </row>
    <row r="3194" spans="1:7" x14ac:dyDescent="0.3">
      <c r="A3194" s="1" t="s">
        <v>30</v>
      </c>
      <c r="B3194" s="1" t="s">
        <v>10156</v>
      </c>
      <c r="C3194" s="1" t="s">
        <v>10157</v>
      </c>
      <c r="D3194" s="1" t="s">
        <v>10120</v>
      </c>
      <c r="F3194" s="1" t="s">
        <v>10158</v>
      </c>
      <c r="G3194" s="1" t="s">
        <v>10159</v>
      </c>
    </row>
    <row r="3195" spans="1:7" x14ac:dyDescent="0.3">
      <c r="A3195" s="1" t="s">
        <v>36</v>
      </c>
      <c r="B3195" s="1" t="s">
        <v>10160</v>
      </c>
      <c r="C3195" s="1" t="s">
        <v>10161</v>
      </c>
      <c r="D3195" s="1" t="s">
        <v>10120</v>
      </c>
      <c r="G3195" s="1" t="s">
        <v>10162</v>
      </c>
    </row>
    <row r="3196" spans="1:7" x14ac:dyDescent="0.3">
      <c r="A3196" s="1" t="s">
        <v>83</v>
      </c>
      <c r="B3196" s="1" t="s">
        <v>10163</v>
      </c>
      <c r="C3196" s="1" t="s">
        <v>10164</v>
      </c>
      <c r="D3196" s="1" t="s">
        <v>10120</v>
      </c>
      <c r="F3196" s="1" t="s">
        <v>10165</v>
      </c>
      <c r="G3196" s="1" t="s">
        <v>10166</v>
      </c>
    </row>
    <row r="3197" spans="1:7" x14ac:dyDescent="0.3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 x14ac:dyDescent="0.3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 x14ac:dyDescent="0.3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 x14ac:dyDescent="0.3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</row>
    <row r="3201" spans="1:7" x14ac:dyDescent="0.3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G3201" s="1" t="s">
        <v>10185</v>
      </c>
    </row>
    <row r="3202" spans="1:7" x14ac:dyDescent="0.3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 x14ac:dyDescent="0.3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 x14ac:dyDescent="0.3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G3204" s="1" t="s">
        <v>10195</v>
      </c>
    </row>
    <row r="3205" spans="1:7" x14ac:dyDescent="0.3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G3205" s="1" t="s">
        <v>10198</v>
      </c>
    </row>
    <row r="3206" spans="1:7" x14ac:dyDescent="0.3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 x14ac:dyDescent="0.3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 x14ac:dyDescent="0.3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 x14ac:dyDescent="0.3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</row>
    <row r="3210" spans="1:7" x14ac:dyDescent="0.3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</row>
    <row r="3211" spans="1:7" x14ac:dyDescent="0.3">
      <c r="A3211" s="1" t="s">
        <v>680</v>
      </c>
      <c r="B3211" s="1" t="s">
        <v>1759</v>
      </c>
      <c r="D3211" s="1" t="s">
        <v>10209</v>
      </c>
      <c r="G3211" s="1" t="s">
        <v>10217</v>
      </c>
    </row>
    <row r="3212" spans="1:7" x14ac:dyDescent="0.3">
      <c r="A3212" s="1" t="s">
        <v>680</v>
      </c>
      <c r="B3212" s="1" t="s">
        <v>10218</v>
      </c>
      <c r="D3212" s="1" t="s">
        <v>10209</v>
      </c>
    </row>
    <row r="3213" spans="1:7" x14ac:dyDescent="0.3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 x14ac:dyDescent="0.3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</row>
    <row r="3215" spans="1:7" x14ac:dyDescent="0.3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 x14ac:dyDescent="0.3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G3216" s="1" t="s">
        <v>10232</v>
      </c>
    </row>
    <row r="3217" spans="1:7" x14ac:dyDescent="0.3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 x14ac:dyDescent="0.3">
      <c r="A3218" s="1" t="s">
        <v>21</v>
      </c>
      <c r="B3218" s="1" t="s">
        <v>10237</v>
      </c>
      <c r="C3218" s="1" t="s">
        <v>10238</v>
      </c>
      <c r="D3218" s="1" t="s">
        <v>10209</v>
      </c>
      <c r="F3218" s="1" t="s">
        <v>10239</v>
      </c>
      <c r="G3218" s="1" t="s">
        <v>10240</v>
      </c>
    </row>
    <row r="3219" spans="1:7" x14ac:dyDescent="0.3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G3219" s="1" t="s">
        <v>10243</v>
      </c>
    </row>
    <row r="3220" spans="1:7" x14ac:dyDescent="0.3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G3220" s="1" t="s">
        <v>10246</v>
      </c>
    </row>
    <row r="3221" spans="1:7" x14ac:dyDescent="0.3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 x14ac:dyDescent="0.3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 x14ac:dyDescent="0.3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 x14ac:dyDescent="0.3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 x14ac:dyDescent="0.3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 x14ac:dyDescent="0.3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 x14ac:dyDescent="0.3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 x14ac:dyDescent="0.3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 x14ac:dyDescent="0.3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 x14ac:dyDescent="0.3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G3230" s="1" t="s">
        <v>10281</v>
      </c>
    </row>
    <row r="3231" spans="1:7" x14ac:dyDescent="0.3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G3231" s="1" t="s">
        <v>10284</v>
      </c>
    </row>
    <row r="3232" spans="1:7" x14ac:dyDescent="0.3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 x14ac:dyDescent="0.3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 x14ac:dyDescent="0.3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G3234" s="1" t="s">
        <v>10295</v>
      </c>
    </row>
    <row r="3235" spans="1:7" x14ac:dyDescent="0.3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G3235" s="1" t="s">
        <v>10284</v>
      </c>
    </row>
    <row r="3236" spans="1:7" x14ac:dyDescent="0.3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 x14ac:dyDescent="0.3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 x14ac:dyDescent="0.3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 x14ac:dyDescent="0.3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 x14ac:dyDescent="0.3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 x14ac:dyDescent="0.3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G3241" s="1" t="s">
        <v>10317</v>
      </c>
    </row>
    <row r="3242" spans="1:7" x14ac:dyDescent="0.3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 x14ac:dyDescent="0.3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 x14ac:dyDescent="0.3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G3244" s="1" t="s">
        <v>10326</v>
      </c>
    </row>
    <row r="3245" spans="1:7" x14ac:dyDescent="0.3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 x14ac:dyDescent="0.3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 x14ac:dyDescent="0.3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 x14ac:dyDescent="0.3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 x14ac:dyDescent="0.3">
      <c r="A3249" s="1" t="s">
        <v>83</v>
      </c>
      <c r="B3249" s="1" t="s">
        <v>10343</v>
      </c>
      <c r="C3249" s="1" t="s">
        <v>10344</v>
      </c>
      <c r="D3249" s="1" t="s">
        <v>10209</v>
      </c>
      <c r="G3249" s="1" t="s">
        <v>10345</v>
      </c>
    </row>
    <row r="3250" spans="1:7" x14ac:dyDescent="0.3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G3250" s="1" t="s">
        <v>10349</v>
      </c>
    </row>
    <row r="3251" spans="1:7" x14ac:dyDescent="0.3">
      <c r="A3251" s="1" t="s">
        <v>21</v>
      </c>
      <c r="B3251" s="1" t="s">
        <v>10350</v>
      </c>
      <c r="C3251" s="1" t="s">
        <v>10351</v>
      </c>
      <c r="D3251" s="1" t="s">
        <v>10209</v>
      </c>
      <c r="G3251" s="1" t="s">
        <v>10352</v>
      </c>
    </row>
    <row r="3252" spans="1:7" x14ac:dyDescent="0.3">
      <c r="A3252" s="1" t="s">
        <v>83</v>
      </c>
      <c r="B3252" s="1" t="s">
        <v>10353</v>
      </c>
      <c r="C3252" s="1" t="s">
        <v>10354</v>
      </c>
      <c r="D3252" s="1" t="s">
        <v>10209</v>
      </c>
      <c r="G3252" s="1" t="s">
        <v>10355</v>
      </c>
    </row>
    <row r="3253" spans="1:7" x14ac:dyDescent="0.3">
      <c r="A3253" s="1" t="s">
        <v>83</v>
      </c>
      <c r="B3253" s="1" t="s">
        <v>10356</v>
      </c>
      <c r="C3253" s="1" t="s">
        <v>10357</v>
      </c>
      <c r="D3253" s="1" t="s">
        <v>10209</v>
      </c>
      <c r="F3253" s="1" t="s">
        <v>10358</v>
      </c>
      <c r="G3253" s="1" t="s">
        <v>10359</v>
      </c>
    </row>
    <row r="3254" spans="1:7" x14ac:dyDescent="0.3">
      <c r="A3254" s="1" t="s">
        <v>83</v>
      </c>
      <c r="B3254" s="1" t="s">
        <v>10360</v>
      </c>
      <c r="C3254" s="1" t="s">
        <v>10351</v>
      </c>
      <c r="D3254" s="1" t="s">
        <v>10209</v>
      </c>
      <c r="G3254" s="1" t="s">
        <v>10292</v>
      </c>
    </row>
    <row r="3255" spans="1:7" x14ac:dyDescent="0.3">
      <c r="A3255" s="1" t="s">
        <v>83</v>
      </c>
      <c r="B3255" s="1" t="s">
        <v>10361</v>
      </c>
      <c r="C3255" s="1" t="s">
        <v>10362</v>
      </c>
      <c r="D3255" s="1" t="s">
        <v>10209</v>
      </c>
      <c r="F3255" s="1" t="s">
        <v>10363</v>
      </c>
      <c r="G3255" s="1" t="s">
        <v>10364</v>
      </c>
    </row>
    <row r="3256" spans="1:7" x14ac:dyDescent="0.3">
      <c r="A3256" s="1" t="s">
        <v>572</v>
      </c>
      <c r="B3256" s="1" t="s">
        <v>10365</v>
      </c>
      <c r="C3256" s="1" t="s">
        <v>10366</v>
      </c>
      <c r="D3256" s="1" t="s">
        <v>10209</v>
      </c>
      <c r="G3256" s="1" t="s">
        <v>10367</v>
      </c>
    </row>
    <row r="3257" spans="1:7" x14ac:dyDescent="0.3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 x14ac:dyDescent="0.3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 x14ac:dyDescent="0.3">
      <c r="A3259" s="1" t="s">
        <v>36</v>
      </c>
      <c r="B3259" s="1" t="s">
        <v>10378</v>
      </c>
      <c r="C3259" s="1" t="s">
        <v>10379</v>
      </c>
      <c r="D3259" s="1" t="s">
        <v>10209</v>
      </c>
      <c r="G3259" s="1" t="s">
        <v>10380</v>
      </c>
    </row>
    <row r="3260" spans="1:7" x14ac:dyDescent="0.3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 x14ac:dyDescent="0.3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 x14ac:dyDescent="0.3">
      <c r="A3262" s="1" t="s">
        <v>36</v>
      </c>
      <c r="B3262" s="1" t="s">
        <v>6388</v>
      </c>
      <c r="C3262" s="1" t="s">
        <v>10390</v>
      </c>
      <c r="D3262" s="1" t="s">
        <v>10209</v>
      </c>
      <c r="F3262" s="1" t="s">
        <v>6390</v>
      </c>
      <c r="G3262" s="1" t="s">
        <v>6391</v>
      </c>
    </row>
    <row r="3263" spans="1:7" x14ac:dyDescent="0.3">
      <c r="A3263" s="1" t="s">
        <v>30</v>
      </c>
      <c r="B3263" s="1" t="s">
        <v>10391</v>
      </c>
      <c r="C3263" s="1" t="s">
        <v>10392</v>
      </c>
      <c r="D3263" s="1" t="s">
        <v>10209</v>
      </c>
      <c r="F3263" s="1" t="s">
        <v>10393</v>
      </c>
      <c r="G3263" s="1" t="s">
        <v>8370</v>
      </c>
    </row>
    <row r="3264" spans="1:7" x14ac:dyDescent="0.3">
      <c r="A3264" s="1" t="s">
        <v>30</v>
      </c>
      <c r="B3264" s="1" t="s">
        <v>10394</v>
      </c>
      <c r="C3264" s="1" t="s">
        <v>10395</v>
      </c>
      <c r="D3264" s="1" t="s">
        <v>10209</v>
      </c>
      <c r="F3264" s="1" t="s">
        <v>10396</v>
      </c>
      <c r="G3264" s="1" t="s">
        <v>10397</v>
      </c>
    </row>
    <row r="3265" spans="1:7" x14ac:dyDescent="0.3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 x14ac:dyDescent="0.3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G3266" s="1" t="s">
        <v>10405</v>
      </c>
    </row>
    <row r="3267" spans="1:7" x14ac:dyDescent="0.3">
      <c r="A3267" s="1" t="s">
        <v>30</v>
      </c>
      <c r="B3267" s="1" t="s">
        <v>10406</v>
      </c>
      <c r="C3267" s="1" t="s">
        <v>10392</v>
      </c>
      <c r="D3267" s="1" t="s">
        <v>10209</v>
      </c>
      <c r="F3267" s="1" t="s">
        <v>10407</v>
      </c>
      <c r="G3267" s="1" t="s">
        <v>10408</v>
      </c>
    </row>
    <row r="3268" spans="1:7" x14ac:dyDescent="0.3">
      <c r="A3268" s="1" t="s">
        <v>83</v>
      </c>
      <c r="B3268" s="1" t="s">
        <v>10409</v>
      </c>
      <c r="C3268" s="1" t="s">
        <v>10410</v>
      </c>
      <c r="D3268" s="1" t="s">
        <v>10209</v>
      </c>
      <c r="G3268" s="1" t="s">
        <v>10411</v>
      </c>
    </row>
    <row r="3269" spans="1:7" x14ac:dyDescent="0.3">
      <c r="A3269" s="1" t="s">
        <v>30</v>
      </c>
      <c r="B3269" s="1" t="s">
        <v>7880</v>
      </c>
      <c r="C3269" s="1" t="s">
        <v>10412</v>
      </c>
      <c r="D3269" s="1" t="s">
        <v>10209</v>
      </c>
      <c r="G3269" s="1" t="s">
        <v>10413</v>
      </c>
    </row>
    <row r="3270" spans="1:7" x14ac:dyDescent="0.3">
      <c r="A3270" s="1" t="s">
        <v>83</v>
      </c>
      <c r="B3270" s="1" t="s">
        <v>10414</v>
      </c>
      <c r="C3270" s="1" t="s">
        <v>10415</v>
      </c>
      <c r="D3270" s="1" t="s">
        <v>10209</v>
      </c>
      <c r="G3270" s="1" t="s">
        <v>10416</v>
      </c>
    </row>
    <row r="3271" spans="1:7" x14ac:dyDescent="0.3">
      <c r="A3271" s="1" t="s">
        <v>7</v>
      </c>
      <c r="B3271" s="1" t="s">
        <v>10417</v>
      </c>
      <c r="C3271" s="1" t="s">
        <v>10418</v>
      </c>
      <c r="D3271" s="1" t="s">
        <v>10209</v>
      </c>
      <c r="F3271" s="1" t="s">
        <v>10419</v>
      </c>
      <c r="G3271" s="1" t="s">
        <v>10420</v>
      </c>
    </row>
    <row r="3272" spans="1:7" x14ac:dyDescent="0.3">
      <c r="A3272" s="1" t="s">
        <v>7</v>
      </c>
      <c r="B3272" s="1" t="s">
        <v>10421</v>
      </c>
      <c r="C3272" s="1" t="s">
        <v>10422</v>
      </c>
      <c r="D3272" s="1" t="s">
        <v>10209</v>
      </c>
      <c r="F3272" s="1" t="s">
        <v>10423</v>
      </c>
      <c r="G3272" s="1" t="s">
        <v>10424</v>
      </c>
    </row>
    <row r="3273" spans="1:7" x14ac:dyDescent="0.3">
      <c r="A3273" s="1" t="s">
        <v>83</v>
      </c>
      <c r="B3273" s="1" t="s">
        <v>10425</v>
      </c>
      <c r="C3273" s="1" t="s">
        <v>10426</v>
      </c>
      <c r="D3273" s="1" t="s">
        <v>10209</v>
      </c>
      <c r="F3273" s="1" t="s">
        <v>10427</v>
      </c>
      <c r="G3273" s="1" t="s">
        <v>10428</v>
      </c>
    </row>
    <row r="3274" spans="1:7" x14ac:dyDescent="0.3">
      <c r="A3274" s="1" t="s">
        <v>83</v>
      </c>
      <c r="B3274" s="1" t="s">
        <v>10429</v>
      </c>
      <c r="C3274" s="1" t="s">
        <v>10430</v>
      </c>
      <c r="D3274" s="1" t="s">
        <v>10209</v>
      </c>
      <c r="F3274" s="1" t="s">
        <v>8070</v>
      </c>
      <c r="G3274" s="1" t="s">
        <v>10431</v>
      </c>
    </row>
    <row r="3275" spans="1:7" x14ac:dyDescent="0.3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 x14ac:dyDescent="0.3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G3276" s="1" t="s">
        <v>10438</v>
      </c>
    </row>
    <row r="3277" spans="1:7" x14ac:dyDescent="0.3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G3277" s="1" t="s">
        <v>10441</v>
      </c>
    </row>
    <row r="3278" spans="1:7" x14ac:dyDescent="0.3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G3278" s="1" t="s">
        <v>8370</v>
      </c>
    </row>
    <row r="3279" spans="1:7" x14ac:dyDescent="0.3">
      <c r="A3279" s="1" t="s">
        <v>13</v>
      </c>
      <c r="B3279" s="1" t="s">
        <v>10444</v>
      </c>
      <c r="C3279" s="1" t="s">
        <v>10445</v>
      </c>
      <c r="D3279" s="1" t="s">
        <v>10209</v>
      </c>
      <c r="G3279" s="1" t="s">
        <v>10446</v>
      </c>
    </row>
    <row r="3280" spans="1:7" x14ac:dyDescent="0.3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 x14ac:dyDescent="0.3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G3281" s="1" t="s">
        <v>10453</v>
      </c>
    </row>
    <row r="3282" spans="1:7" x14ac:dyDescent="0.3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 x14ac:dyDescent="0.3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G3283" s="1" t="s">
        <v>10460</v>
      </c>
    </row>
    <row r="3284" spans="1:7" x14ac:dyDescent="0.3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G3284" s="1" t="s">
        <v>10463</v>
      </c>
    </row>
    <row r="3285" spans="1:7" x14ac:dyDescent="0.3">
      <c r="A3285" s="1" t="s">
        <v>30</v>
      </c>
      <c r="B3285" s="1" t="s">
        <v>39</v>
      </c>
      <c r="C3285" s="1" t="s">
        <v>10464</v>
      </c>
      <c r="D3285" s="1" t="s">
        <v>10209</v>
      </c>
      <c r="F3285" s="1" t="s">
        <v>10465</v>
      </c>
      <c r="G3285" s="1" t="s">
        <v>10466</v>
      </c>
    </row>
    <row r="3286" spans="1:7" x14ac:dyDescent="0.3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G3286" s="1" t="s">
        <v>10468</v>
      </c>
    </row>
    <row r="3287" spans="1:7" x14ac:dyDescent="0.3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G3287" s="1" t="s">
        <v>10471</v>
      </c>
    </row>
    <row r="3288" spans="1:7" x14ac:dyDescent="0.3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 x14ac:dyDescent="0.3">
      <c r="A3289" s="1" t="s">
        <v>30</v>
      </c>
      <c r="B3289" s="1" t="s">
        <v>10476</v>
      </c>
      <c r="C3289" s="1" t="s">
        <v>10477</v>
      </c>
      <c r="D3289" s="1" t="s">
        <v>10209</v>
      </c>
      <c r="G3289" s="1" t="s">
        <v>10453</v>
      </c>
    </row>
    <row r="3290" spans="1:7" x14ac:dyDescent="0.3">
      <c r="A3290" s="1" t="s">
        <v>30</v>
      </c>
      <c r="B3290" s="1" t="s">
        <v>10478</v>
      </c>
      <c r="C3290" s="1" t="s">
        <v>10479</v>
      </c>
      <c r="D3290" s="1" t="s">
        <v>10209</v>
      </c>
      <c r="F3290" s="1" t="s">
        <v>10480</v>
      </c>
      <c r="G3290" s="1" t="s">
        <v>10481</v>
      </c>
    </row>
    <row r="3291" spans="1:7" x14ac:dyDescent="0.3">
      <c r="A3291" s="1" t="s">
        <v>21</v>
      </c>
      <c r="B3291" s="1" t="s">
        <v>10482</v>
      </c>
      <c r="C3291" s="1" t="s">
        <v>10483</v>
      </c>
      <c r="D3291" s="1" t="s">
        <v>10209</v>
      </c>
      <c r="F3291" s="1" t="s">
        <v>10484</v>
      </c>
      <c r="G3291" s="1" t="s">
        <v>10485</v>
      </c>
    </row>
    <row r="3292" spans="1:7" x14ac:dyDescent="0.3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G3292" s="1" t="s">
        <v>10488</v>
      </c>
    </row>
    <row r="3293" spans="1:7" x14ac:dyDescent="0.3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 x14ac:dyDescent="0.3">
      <c r="A3294" s="1" t="s">
        <v>89</v>
      </c>
      <c r="B3294" s="1" t="s">
        <v>138</v>
      </c>
      <c r="D3294" s="1" t="s">
        <v>10491</v>
      </c>
    </row>
    <row r="3295" spans="1:7" x14ac:dyDescent="0.3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 x14ac:dyDescent="0.3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 x14ac:dyDescent="0.3">
      <c r="A3297" s="1" t="s">
        <v>36</v>
      </c>
      <c r="B3297" s="1" t="s">
        <v>10502</v>
      </c>
      <c r="C3297" s="1" t="s">
        <v>10503</v>
      </c>
      <c r="D3297" s="1" t="s">
        <v>10491</v>
      </c>
      <c r="F3297" s="1" t="s">
        <v>10504</v>
      </c>
    </row>
    <row r="3298" spans="1:7" x14ac:dyDescent="0.3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 x14ac:dyDescent="0.3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 x14ac:dyDescent="0.3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</row>
    <row r="3301" spans="1:7" x14ac:dyDescent="0.3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 x14ac:dyDescent="0.3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 x14ac:dyDescent="0.3">
      <c r="A3303" s="1" t="s">
        <v>30</v>
      </c>
      <c r="B3303" s="1" t="s">
        <v>10526</v>
      </c>
      <c r="C3303" s="1" t="s">
        <v>10527</v>
      </c>
      <c r="D3303" s="1" t="s">
        <v>10522</v>
      </c>
      <c r="F3303" s="1" t="s">
        <v>10528</v>
      </c>
      <c r="G3303" s="1" t="s">
        <v>10529</v>
      </c>
    </row>
    <row r="3304" spans="1:7" x14ac:dyDescent="0.3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 x14ac:dyDescent="0.3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 x14ac:dyDescent="0.3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 x14ac:dyDescent="0.3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 x14ac:dyDescent="0.3">
      <c r="A3308" s="1" t="s">
        <v>36</v>
      </c>
      <c r="B3308" s="1" t="s">
        <v>10549</v>
      </c>
      <c r="C3308" s="1" t="s">
        <v>10550</v>
      </c>
      <c r="D3308" s="1" t="s">
        <v>10522</v>
      </c>
      <c r="G3308" s="1" t="s">
        <v>10551</v>
      </c>
    </row>
    <row r="3309" spans="1:7" x14ac:dyDescent="0.3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 x14ac:dyDescent="0.3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 x14ac:dyDescent="0.3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 x14ac:dyDescent="0.3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 x14ac:dyDescent="0.3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G3313" s="1" t="s">
        <v>10572</v>
      </c>
    </row>
    <row r="3314" spans="1:7" x14ac:dyDescent="0.3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G3314" s="1" t="s">
        <v>10576</v>
      </c>
    </row>
    <row r="3315" spans="1:7" x14ac:dyDescent="0.3">
      <c r="A3315" s="1" t="s">
        <v>30</v>
      </c>
      <c r="B3315" s="1" t="s">
        <v>10577</v>
      </c>
      <c r="C3315" s="1" t="s">
        <v>10344</v>
      </c>
      <c r="D3315" s="1" t="s">
        <v>10522</v>
      </c>
      <c r="G3315" s="1" t="s">
        <v>10578</v>
      </c>
    </row>
    <row r="3316" spans="1:7" x14ac:dyDescent="0.3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 x14ac:dyDescent="0.3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G3317" s="1" t="s">
        <v>10586</v>
      </c>
    </row>
    <row r="3318" spans="1:7" x14ac:dyDescent="0.3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 x14ac:dyDescent="0.3">
      <c r="A3319" s="1" t="s">
        <v>89</v>
      </c>
      <c r="B3319" s="1" t="s">
        <v>2478</v>
      </c>
      <c r="D3319" s="1" t="s">
        <v>10592</v>
      </c>
      <c r="E3319" s="1" t="s">
        <v>10593</v>
      </c>
      <c r="G3319" s="1" t="s">
        <v>10594</v>
      </c>
    </row>
    <row r="3320" spans="1:7" x14ac:dyDescent="0.3">
      <c r="A3320" s="1" t="s">
        <v>36</v>
      </c>
      <c r="B3320" s="1" t="s">
        <v>10595</v>
      </c>
      <c r="C3320" s="1" t="s">
        <v>10596</v>
      </c>
      <c r="D3320" s="1" t="s">
        <v>10592</v>
      </c>
      <c r="F3320" s="1" t="s">
        <v>10597</v>
      </c>
      <c r="G3320" s="1" t="s">
        <v>10598</v>
      </c>
    </row>
    <row r="3321" spans="1:7" x14ac:dyDescent="0.3">
      <c r="A3321" s="1" t="s">
        <v>36</v>
      </c>
      <c r="B3321" s="1" t="s">
        <v>10599</v>
      </c>
      <c r="C3321" s="1" t="s">
        <v>10600</v>
      </c>
      <c r="D3321" s="1" t="s">
        <v>10592</v>
      </c>
      <c r="G3321" s="1" t="s">
        <v>10601</v>
      </c>
    </row>
    <row r="3322" spans="1:7" x14ac:dyDescent="0.3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 x14ac:dyDescent="0.3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G3323" s="1" t="s">
        <v>10610</v>
      </c>
    </row>
    <row r="3324" spans="1:7" x14ac:dyDescent="0.3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 x14ac:dyDescent="0.3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 x14ac:dyDescent="0.3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 x14ac:dyDescent="0.3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 x14ac:dyDescent="0.3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 x14ac:dyDescent="0.3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 x14ac:dyDescent="0.3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 x14ac:dyDescent="0.3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 x14ac:dyDescent="0.3">
      <c r="A3332" s="1" t="s">
        <v>7</v>
      </c>
      <c r="B3332" s="1" t="s">
        <v>10644</v>
      </c>
      <c r="C3332" s="1" t="s">
        <v>10645</v>
      </c>
      <c r="D3332" s="1" t="s">
        <v>10633</v>
      </c>
      <c r="F3332" s="1" t="s">
        <v>10646</v>
      </c>
      <c r="G3332" s="1" t="s">
        <v>10647</v>
      </c>
    </row>
    <row r="3333" spans="1:7" x14ac:dyDescent="0.3">
      <c r="A3333" s="1" t="s">
        <v>89</v>
      </c>
      <c r="B3333" s="1" t="s">
        <v>138</v>
      </c>
      <c r="D3333" s="1" t="s">
        <v>10633</v>
      </c>
    </row>
    <row r="3334" spans="1:7" x14ac:dyDescent="0.3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 x14ac:dyDescent="0.3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G3335" s="1" t="s">
        <v>10654</v>
      </c>
    </row>
    <row r="3336" spans="1:7" x14ac:dyDescent="0.3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G3336" s="1" t="s">
        <v>10658</v>
      </c>
    </row>
    <row r="3337" spans="1:7" x14ac:dyDescent="0.3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G3337" s="1" t="s">
        <v>10661</v>
      </c>
    </row>
    <row r="3338" spans="1:7" x14ac:dyDescent="0.3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 x14ac:dyDescent="0.3">
      <c r="A3339" s="1" t="s">
        <v>30</v>
      </c>
      <c r="B3339" s="1" t="s">
        <v>10666</v>
      </c>
      <c r="C3339" s="1" t="s">
        <v>10667</v>
      </c>
      <c r="D3339" s="1" t="s">
        <v>10657</v>
      </c>
      <c r="F3339" s="1" t="s">
        <v>10668</v>
      </c>
      <c r="G3339" s="1" t="s">
        <v>10669</v>
      </c>
    </row>
    <row r="3340" spans="1:7" x14ac:dyDescent="0.3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</row>
    <row r="3341" spans="1:7" x14ac:dyDescent="0.3">
      <c r="A3341" s="1" t="s">
        <v>7</v>
      </c>
      <c r="B3341" s="1" t="s">
        <v>10672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 x14ac:dyDescent="0.3">
      <c r="A3342" s="1" t="s">
        <v>83</v>
      </c>
      <c r="B3342" s="1" t="s">
        <v>10676</v>
      </c>
      <c r="C3342" s="1" t="s">
        <v>10677</v>
      </c>
      <c r="D3342" s="1" t="s">
        <v>10657</v>
      </c>
      <c r="F3342" s="1" t="s">
        <v>10678</v>
      </c>
      <c r="G3342" s="1" t="s">
        <v>10679</v>
      </c>
    </row>
    <row r="3343" spans="1:7" x14ac:dyDescent="0.3">
      <c r="A3343" s="1" t="s">
        <v>30</v>
      </c>
      <c r="B3343" s="1" t="s">
        <v>10680</v>
      </c>
      <c r="C3343" s="1" t="s">
        <v>10681</v>
      </c>
      <c r="D3343" s="1" t="s">
        <v>10657</v>
      </c>
      <c r="F3343" s="1" t="s">
        <v>10682</v>
      </c>
      <c r="G3343" s="1" t="s">
        <v>10683</v>
      </c>
    </row>
    <row r="3344" spans="1:7" x14ac:dyDescent="0.3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</row>
    <row r="3345" spans="1:7" x14ac:dyDescent="0.3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 x14ac:dyDescent="0.3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</row>
    <row r="3347" spans="1:7" x14ac:dyDescent="0.3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G3347" s="1" t="s">
        <v>10697</v>
      </c>
    </row>
    <row r="3348" spans="1:7" x14ac:dyDescent="0.3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G3348" s="1" t="s">
        <v>10700</v>
      </c>
    </row>
    <row r="3349" spans="1:7" x14ac:dyDescent="0.3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G3349" s="1" t="s">
        <v>10703</v>
      </c>
    </row>
    <row r="3350" spans="1:7" x14ac:dyDescent="0.3">
      <c r="A3350" s="1" t="s">
        <v>36</v>
      </c>
      <c r="B3350" s="1" t="s">
        <v>10704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 x14ac:dyDescent="0.3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 x14ac:dyDescent="0.3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G3352" s="1" t="s">
        <v>10715</v>
      </c>
    </row>
    <row r="3353" spans="1:7" x14ac:dyDescent="0.3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G3353" s="1" t="s">
        <v>10717</v>
      </c>
    </row>
    <row r="3354" spans="1:7" x14ac:dyDescent="0.3">
      <c r="A3354" s="1" t="s">
        <v>36</v>
      </c>
      <c r="B3354" s="1" t="s">
        <v>10718</v>
      </c>
      <c r="C3354" s="1" t="s">
        <v>10719</v>
      </c>
      <c r="D3354" s="1" t="s">
        <v>10705</v>
      </c>
      <c r="F3354" s="1" t="s">
        <v>10720</v>
      </c>
      <c r="G3354" s="1" t="s">
        <v>10721</v>
      </c>
    </row>
    <row r="3355" spans="1:7" x14ac:dyDescent="0.3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 x14ac:dyDescent="0.3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 x14ac:dyDescent="0.3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 x14ac:dyDescent="0.3">
      <c r="A3358" s="1" t="s">
        <v>89</v>
      </c>
      <c r="B3358" s="1" t="s">
        <v>138</v>
      </c>
      <c r="D3358" s="1" t="s">
        <v>10705</v>
      </c>
    </row>
    <row r="3359" spans="1:7" x14ac:dyDescent="0.3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G3359" s="1" t="s">
        <v>10736</v>
      </c>
    </row>
    <row r="3360" spans="1:7" x14ac:dyDescent="0.3">
      <c r="A3360" s="1" t="s">
        <v>30</v>
      </c>
      <c r="B3360" s="1" t="s">
        <v>10737</v>
      </c>
      <c r="D3360" s="1" t="s">
        <v>10705</v>
      </c>
    </row>
    <row r="3361" spans="1:7" x14ac:dyDescent="0.3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G3361" s="1" t="s">
        <v>10741</v>
      </c>
    </row>
    <row r="3362" spans="1:7" x14ac:dyDescent="0.3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</row>
    <row r="3363" spans="1:7" x14ac:dyDescent="0.3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G3363" s="1" t="s">
        <v>10746</v>
      </c>
    </row>
    <row r="3364" spans="1:7" x14ac:dyDescent="0.3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 x14ac:dyDescent="0.3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G3365" s="1" t="s">
        <v>10754</v>
      </c>
    </row>
    <row r="3366" spans="1:7" x14ac:dyDescent="0.3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 x14ac:dyDescent="0.3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 x14ac:dyDescent="0.3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 x14ac:dyDescent="0.3">
      <c r="A3369" s="1" t="s">
        <v>89</v>
      </c>
      <c r="B3369" s="1" t="s">
        <v>10766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 x14ac:dyDescent="0.3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 x14ac:dyDescent="0.3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 x14ac:dyDescent="0.3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G3372" s="1" t="s">
        <v>10780</v>
      </c>
    </row>
    <row r="3373" spans="1:7" x14ac:dyDescent="0.3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</row>
    <row r="3374" spans="1:7" x14ac:dyDescent="0.3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G3374" s="1" t="s">
        <v>10785</v>
      </c>
    </row>
    <row r="3375" spans="1:7" x14ac:dyDescent="0.3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G3375" s="1" t="s">
        <v>10789</v>
      </c>
    </row>
    <row r="3376" spans="1:7" x14ac:dyDescent="0.3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</row>
    <row r="3377" spans="1:7" x14ac:dyDescent="0.3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 x14ac:dyDescent="0.3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G3378" s="1" t="s">
        <v>10800</v>
      </c>
    </row>
    <row r="3379" spans="1:7" x14ac:dyDescent="0.3">
      <c r="A3379" s="1" t="s">
        <v>30</v>
      </c>
      <c r="B3379" s="1" t="s">
        <v>10801</v>
      </c>
      <c r="C3379" s="1" t="s">
        <v>10802</v>
      </c>
      <c r="D3379" s="1" t="s">
        <v>10740</v>
      </c>
      <c r="G3379" s="1" t="s">
        <v>10803</v>
      </c>
    </row>
    <row r="3380" spans="1:7" x14ac:dyDescent="0.3">
      <c r="A3380" s="1" t="s">
        <v>83</v>
      </c>
      <c r="B3380" s="1" t="s">
        <v>10804</v>
      </c>
      <c r="C3380" s="1" t="s">
        <v>10805</v>
      </c>
      <c r="D3380" s="1" t="s">
        <v>10740</v>
      </c>
      <c r="G3380" s="1" t="s">
        <v>10806</v>
      </c>
    </row>
    <row r="3381" spans="1:7" x14ac:dyDescent="0.3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G3381" s="1" t="s">
        <v>10810</v>
      </c>
    </row>
    <row r="3382" spans="1:7" x14ac:dyDescent="0.3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</row>
    <row r="3383" spans="1:7" x14ac:dyDescent="0.3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</row>
    <row r="3384" spans="1:7" x14ac:dyDescent="0.3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 x14ac:dyDescent="0.3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 x14ac:dyDescent="0.3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 x14ac:dyDescent="0.3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 x14ac:dyDescent="0.3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</row>
    <row r="3389" spans="1:7" x14ac:dyDescent="0.3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 x14ac:dyDescent="0.3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 x14ac:dyDescent="0.3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 x14ac:dyDescent="0.3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 x14ac:dyDescent="0.3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</row>
    <row r="3394" spans="1:7" x14ac:dyDescent="0.3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 x14ac:dyDescent="0.3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</row>
    <row r="3396" spans="1:7" x14ac:dyDescent="0.3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G3396" s="1" t="s">
        <v>10859</v>
      </c>
    </row>
    <row r="3397" spans="1:7" x14ac:dyDescent="0.3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 x14ac:dyDescent="0.3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</row>
    <row r="3399" spans="1:7" x14ac:dyDescent="0.3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</row>
    <row r="3400" spans="1:7" x14ac:dyDescent="0.3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G3400" s="1" t="s">
        <v>10870</v>
      </c>
    </row>
    <row r="3401" spans="1:7" x14ac:dyDescent="0.3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 x14ac:dyDescent="0.3">
      <c r="A3402" s="1" t="s">
        <v>191</v>
      </c>
      <c r="B3402" s="1" t="s">
        <v>10875</v>
      </c>
      <c r="D3402" s="1" t="s">
        <v>10740</v>
      </c>
      <c r="E3402" s="1" t="s">
        <v>10740</v>
      </c>
    </row>
    <row r="3403" spans="1:7" x14ac:dyDescent="0.3">
      <c r="A3403" s="1" t="s">
        <v>30</v>
      </c>
      <c r="B3403" s="1" t="s">
        <v>10876</v>
      </c>
      <c r="C3403" s="1" t="s">
        <v>10877</v>
      </c>
      <c r="D3403" s="1" t="s">
        <v>10740</v>
      </c>
      <c r="F3403" s="1" t="s">
        <v>10878</v>
      </c>
      <c r="G3403" s="1" t="s">
        <v>10879</v>
      </c>
    </row>
    <row r="3404" spans="1:7" x14ac:dyDescent="0.3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 x14ac:dyDescent="0.3">
      <c r="A3405" s="1" t="s">
        <v>83</v>
      </c>
      <c r="B3405" s="1" t="s">
        <v>10884</v>
      </c>
      <c r="C3405" s="1" t="s">
        <v>10885</v>
      </c>
      <c r="D3405" s="1" t="s">
        <v>10740</v>
      </c>
      <c r="F3405" s="1" t="s">
        <v>10886</v>
      </c>
      <c r="G3405" s="1" t="s">
        <v>10887</v>
      </c>
    </row>
    <row r="3406" spans="1:7" x14ac:dyDescent="0.3">
      <c r="A3406" s="1" t="s">
        <v>30</v>
      </c>
      <c r="B3406" s="1" t="s">
        <v>10888</v>
      </c>
      <c r="C3406" s="1" t="s">
        <v>10889</v>
      </c>
      <c r="D3406" s="1" t="s">
        <v>10740</v>
      </c>
      <c r="G3406" s="1" t="s">
        <v>10890</v>
      </c>
    </row>
    <row r="3407" spans="1:7" x14ac:dyDescent="0.3">
      <c r="A3407" s="1" t="s">
        <v>83</v>
      </c>
      <c r="B3407" s="1" t="s">
        <v>10891</v>
      </c>
      <c r="C3407" s="1" t="s">
        <v>10892</v>
      </c>
      <c r="D3407" s="1" t="s">
        <v>10740</v>
      </c>
      <c r="F3407" s="1" t="s">
        <v>10893</v>
      </c>
      <c r="G3407" s="1" t="s">
        <v>10894</v>
      </c>
    </row>
    <row r="3408" spans="1:7" x14ac:dyDescent="0.3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 x14ac:dyDescent="0.3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G3409" s="1" t="s">
        <v>10902</v>
      </c>
    </row>
    <row r="3410" spans="1:7" x14ac:dyDescent="0.3">
      <c r="A3410" s="1" t="s">
        <v>83</v>
      </c>
      <c r="B3410" s="1" t="s">
        <v>10903</v>
      </c>
      <c r="C3410" s="1" t="s">
        <v>10904</v>
      </c>
      <c r="D3410" s="1" t="s">
        <v>10740</v>
      </c>
      <c r="G3410" s="1" t="s">
        <v>10905</v>
      </c>
    </row>
    <row r="3411" spans="1:7" x14ac:dyDescent="0.3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G3411" s="1" t="s">
        <v>10909</v>
      </c>
    </row>
    <row r="3412" spans="1:7" x14ac:dyDescent="0.3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G3412" s="1" t="s">
        <v>10912</v>
      </c>
    </row>
    <row r="3413" spans="1:7" x14ac:dyDescent="0.3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 x14ac:dyDescent="0.3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G3414" s="1" t="s">
        <v>10920</v>
      </c>
    </row>
    <row r="3415" spans="1:7" x14ac:dyDescent="0.3">
      <c r="A3415" s="1" t="s">
        <v>187</v>
      </c>
      <c r="B3415" s="1" t="s">
        <v>10921</v>
      </c>
      <c r="C3415" s="1" t="s">
        <v>10922</v>
      </c>
      <c r="D3415" s="1" t="s">
        <v>10915</v>
      </c>
      <c r="G3415" s="1" t="s">
        <v>10923</v>
      </c>
    </row>
    <row r="3416" spans="1:7" x14ac:dyDescent="0.3">
      <c r="A3416" s="1" t="s">
        <v>13</v>
      </c>
      <c r="B3416" s="1" t="s">
        <v>10924</v>
      </c>
      <c r="C3416" s="1" t="s">
        <v>10925</v>
      </c>
      <c r="D3416" s="1" t="s">
        <v>10915</v>
      </c>
      <c r="G3416" s="1" t="s">
        <v>10926</v>
      </c>
    </row>
    <row r="3417" spans="1:7" x14ac:dyDescent="0.3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 x14ac:dyDescent="0.3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 x14ac:dyDescent="0.3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 x14ac:dyDescent="0.3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 x14ac:dyDescent="0.3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 x14ac:dyDescent="0.3">
      <c r="A3422" s="1" t="s">
        <v>83</v>
      </c>
      <c r="B3422" s="1" t="s">
        <v>10947</v>
      </c>
      <c r="C3422" s="1" t="s">
        <v>10948</v>
      </c>
      <c r="D3422" s="1" t="s">
        <v>10935</v>
      </c>
      <c r="F3422" s="1" t="s">
        <v>10949</v>
      </c>
    </row>
    <row r="3423" spans="1:7" x14ac:dyDescent="0.3">
      <c r="A3423" s="1" t="s">
        <v>83</v>
      </c>
      <c r="B3423" s="1" t="s">
        <v>10950</v>
      </c>
      <c r="C3423" s="1" t="s">
        <v>10951</v>
      </c>
      <c r="D3423" s="1" t="s">
        <v>10935</v>
      </c>
      <c r="F3423" s="1" t="s">
        <v>10952</v>
      </c>
      <c r="G3423" s="1" t="s">
        <v>10953</v>
      </c>
    </row>
    <row r="3424" spans="1:7" x14ac:dyDescent="0.3">
      <c r="A3424" s="1" t="s">
        <v>30</v>
      </c>
      <c r="B3424" s="1" t="s">
        <v>10954</v>
      </c>
      <c r="C3424" s="1" t="s">
        <v>10955</v>
      </c>
      <c r="D3424" s="1" t="s">
        <v>10935</v>
      </c>
      <c r="F3424" s="1" t="s">
        <v>10956</v>
      </c>
      <c r="G3424" s="1" t="s">
        <v>10957</v>
      </c>
    </row>
    <row r="3425" spans="1:7" x14ac:dyDescent="0.3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G3425" s="1" t="s">
        <v>10961</v>
      </c>
    </row>
    <row r="3426" spans="1:7" x14ac:dyDescent="0.3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 x14ac:dyDescent="0.3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 x14ac:dyDescent="0.3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 x14ac:dyDescent="0.3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G3429" s="1" t="s">
        <v>10974</v>
      </c>
    </row>
    <row r="3430" spans="1:7" x14ac:dyDescent="0.3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G3430" s="1" t="s">
        <v>10978</v>
      </c>
    </row>
    <row r="3431" spans="1:7" x14ac:dyDescent="0.3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 x14ac:dyDescent="0.3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G3432" s="1" t="s">
        <v>10986</v>
      </c>
    </row>
    <row r="3433" spans="1:7" x14ac:dyDescent="0.3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 x14ac:dyDescent="0.3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</row>
    <row r="3435" spans="1:7" x14ac:dyDescent="0.3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</row>
    <row r="3436" spans="1:7" x14ac:dyDescent="0.3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</row>
    <row r="3437" spans="1:7" x14ac:dyDescent="0.3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</row>
    <row r="3438" spans="1:7" x14ac:dyDescent="0.3">
      <c r="A3438" s="1" t="s">
        <v>572</v>
      </c>
      <c r="B3438" s="1" t="s">
        <v>10999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 x14ac:dyDescent="0.3">
      <c r="A3439" s="1" t="s">
        <v>191</v>
      </c>
      <c r="B3439" s="1" t="s">
        <v>11003</v>
      </c>
      <c r="C3439" s="1" t="s">
        <v>11004</v>
      </c>
      <c r="D3439" s="1" t="s">
        <v>10993</v>
      </c>
      <c r="G3439" s="1" t="s">
        <v>11005</v>
      </c>
    </row>
    <row r="3440" spans="1:7" x14ac:dyDescent="0.3">
      <c r="A3440" s="1" t="s">
        <v>30</v>
      </c>
      <c r="B3440" s="1" t="s">
        <v>11006</v>
      </c>
      <c r="C3440" s="1" t="s">
        <v>11007</v>
      </c>
      <c r="D3440" s="1" t="s">
        <v>10993</v>
      </c>
      <c r="G3440" s="1" t="s">
        <v>11008</v>
      </c>
    </row>
    <row r="3441" spans="1:7" x14ac:dyDescent="0.3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G3441" s="1" t="s">
        <v>11012</v>
      </c>
    </row>
    <row r="3442" spans="1:7" x14ac:dyDescent="0.3">
      <c r="A3442" s="1" t="s">
        <v>89</v>
      </c>
      <c r="B3442" s="1" t="s">
        <v>11013</v>
      </c>
      <c r="D3442" s="1" t="s">
        <v>10993</v>
      </c>
      <c r="E3442" s="1" t="s">
        <v>11014</v>
      </c>
      <c r="G3442" s="1" t="s">
        <v>11015</v>
      </c>
    </row>
    <row r="3443" spans="1:7" x14ac:dyDescent="0.3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</row>
    <row r="3444" spans="1:7" x14ac:dyDescent="0.3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</row>
    <row r="3445" spans="1:7" x14ac:dyDescent="0.3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 x14ac:dyDescent="0.3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 x14ac:dyDescent="0.3">
      <c r="A3447" s="1" t="s">
        <v>36</v>
      </c>
      <c r="B3447" s="1" t="s">
        <v>11028</v>
      </c>
      <c r="D3447" s="1" t="s">
        <v>11025</v>
      </c>
      <c r="F3447" s="1" t="s">
        <v>11029</v>
      </c>
    </row>
    <row r="3448" spans="1:7" x14ac:dyDescent="0.3">
      <c r="A3448" s="1" t="s">
        <v>7</v>
      </c>
      <c r="B3448" s="1" t="s">
        <v>11030</v>
      </c>
      <c r="D3448" s="1" t="s">
        <v>11025</v>
      </c>
      <c r="E3448" s="1" t="s">
        <v>11031</v>
      </c>
      <c r="F3448" s="1" t="s">
        <v>11029</v>
      </c>
    </row>
    <row r="3449" spans="1:7" x14ac:dyDescent="0.3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 x14ac:dyDescent="0.3">
      <c r="A3450" s="1" t="s">
        <v>13</v>
      </c>
      <c r="B3450" s="1" t="s">
        <v>11037</v>
      </c>
      <c r="D3450" s="1" t="s">
        <v>11025</v>
      </c>
    </row>
    <row r="3451" spans="1:7" x14ac:dyDescent="0.3">
      <c r="A3451" s="1" t="s">
        <v>36</v>
      </c>
      <c r="B3451" s="1" t="s">
        <v>11038</v>
      </c>
      <c r="C3451" s="1" t="s">
        <v>11039</v>
      </c>
      <c r="D3451" s="1" t="s">
        <v>11025</v>
      </c>
      <c r="G3451" s="1" t="s">
        <v>11040</v>
      </c>
    </row>
    <row r="3452" spans="1:7" x14ac:dyDescent="0.3">
      <c r="A3452" s="1" t="s">
        <v>13</v>
      </c>
      <c r="B3452" s="1" t="s">
        <v>11041</v>
      </c>
      <c r="C3452" s="1" t="s">
        <v>11042</v>
      </c>
      <c r="D3452" s="1" t="s">
        <v>11025</v>
      </c>
      <c r="G3452" s="1" t="s">
        <v>11043</v>
      </c>
    </row>
    <row r="3453" spans="1:7" x14ac:dyDescent="0.3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</row>
    <row r="3454" spans="1:7" x14ac:dyDescent="0.3">
      <c r="A3454" s="1" t="s">
        <v>36</v>
      </c>
      <c r="B3454" s="1" t="s">
        <v>11046</v>
      </c>
      <c r="D3454" s="1" t="s">
        <v>11025</v>
      </c>
      <c r="E3454" s="1" t="s">
        <v>11047</v>
      </c>
      <c r="G3454" s="1" t="s">
        <v>11048</v>
      </c>
    </row>
    <row r="3455" spans="1:7" x14ac:dyDescent="0.3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G3455" s="1" t="s">
        <v>11051</v>
      </c>
    </row>
    <row r="3456" spans="1:7" x14ac:dyDescent="0.3">
      <c r="A3456" s="1" t="s">
        <v>36</v>
      </c>
      <c r="B3456" s="1" t="s">
        <v>11052</v>
      </c>
      <c r="D3456" s="1" t="s">
        <v>11025</v>
      </c>
      <c r="E3456" s="1" t="s">
        <v>11053</v>
      </c>
      <c r="G3456" s="1" t="s">
        <v>11054</v>
      </c>
    </row>
    <row r="3457" spans="1:7" x14ac:dyDescent="0.3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 x14ac:dyDescent="0.3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 x14ac:dyDescent="0.3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</row>
    <row r="3460" spans="1:7" x14ac:dyDescent="0.3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 x14ac:dyDescent="0.3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G3461" s="1" t="s">
        <v>11072</v>
      </c>
    </row>
    <row r="3462" spans="1:7" x14ac:dyDescent="0.3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G3462" s="1" t="s">
        <v>11075</v>
      </c>
    </row>
    <row r="3463" spans="1:7" x14ac:dyDescent="0.3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G3463" s="1" t="s">
        <v>11077</v>
      </c>
    </row>
    <row r="3464" spans="1:7" x14ac:dyDescent="0.3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 x14ac:dyDescent="0.3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G3465" s="1" t="s">
        <v>11084</v>
      </c>
    </row>
    <row r="3466" spans="1:7" x14ac:dyDescent="0.3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 x14ac:dyDescent="0.3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 x14ac:dyDescent="0.3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G3468" s="1" t="s">
        <v>11095</v>
      </c>
    </row>
    <row r="3469" spans="1:7" x14ac:dyDescent="0.3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</row>
    <row r="3470" spans="1:7" x14ac:dyDescent="0.3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 x14ac:dyDescent="0.3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 x14ac:dyDescent="0.3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 x14ac:dyDescent="0.3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 x14ac:dyDescent="0.3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 x14ac:dyDescent="0.3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 x14ac:dyDescent="0.3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 x14ac:dyDescent="0.3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G3477" s="1" t="s">
        <v>11129</v>
      </c>
    </row>
    <row r="3478" spans="1:7" x14ac:dyDescent="0.3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 x14ac:dyDescent="0.3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 x14ac:dyDescent="0.3">
      <c r="A3480" s="1" t="s">
        <v>13</v>
      </c>
      <c r="B3480" s="1" t="s">
        <v>11138</v>
      </c>
      <c r="C3480" s="1" t="s">
        <v>11139</v>
      </c>
      <c r="D3480" s="1" t="s">
        <v>11061</v>
      </c>
      <c r="G3480" s="1" t="s">
        <v>11105</v>
      </c>
    </row>
    <row r="3481" spans="1:7" x14ac:dyDescent="0.3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 x14ac:dyDescent="0.3">
      <c r="A3482" s="1" t="s">
        <v>30</v>
      </c>
      <c r="B3482" s="1" t="s">
        <v>11145</v>
      </c>
      <c r="C3482" s="1" t="s">
        <v>11146</v>
      </c>
      <c r="D3482" s="1" t="s">
        <v>11061</v>
      </c>
    </row>
    <row r="3483" spans="1:7" x14ac:dyDescent="0.3">
      <c r="A3483" s="1" t="s">
        <v>89</v>
      </c>
      <c r="B3483" s="1" t="s">
        <v>11147</v>
      </c>
      <c r="D3483" s="1" t="s">
        <v>11061</v>
      </c>
      <c r="E3483" s="1" t="s">
        <v>11148</v>
      </c>
      <c r="G3483" s="1" t="s">
        <v>11149</v>
      </c>
    </row>
    <row r="3484" spans="1:7" x14ac:dyDescent="0.3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 x14ac:dyDescent="0.3">
      <c r="A3485" s="1" t="s">
        <v>30</v>
      </c>
      <c r="B3485" s="1" t="s">
        <v>11155</v>
      </c>
      <c r="C3485" s="1" t="s">
        <v>11156</v>
      </c>
      <c r="D3485" s="1" t="s">
        <v>11061</v>
      </c>
      <c r="F3485" s="1" t="s">
        <v>11157</v>
      </c>
      <c r="G3485" s="1" t="s">
        <v>11158</v>
      </c>
    </row>
    <row r="3486" spans="1:7" x14ac:dyDescent="0.3">
      <c r="A3486" s="1" t="s">
        <v>36</v>
      </c>
      <c r="B3486" s="1" t="s">
        <v>11159</v>
      </c>
      <c r="C3486" s="1" t="s">
        <v>11160</v>
      </c>
      <c r="D3486" s="1" t="s">
        <v>11061</v>
      </c>
      <c r="F3486" s="1" t="s">
        <v>11161</v>
      </c>
      <c r="G3486" s="1" t="s">
        <v>11162</v>
      </c>
    </row>
    <row r="3487" spans="1:7" x14ac:dyDescent="0.3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 x14ac:dyDescent="0.3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 x14ac:dyDescent="0.3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G3489" s="1" t="s">
        <v>11172</v>
      </c>
    </row>
    <row r="3490" spans="1:7" x14ac:dyDescent="0.3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 x14ac:dyDescent="0.3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 x14ac:dyDescent="0.3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 x14ac:dyDescent="0.3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 x14ac:dyDescent="0.3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 x14ac:dyDescent="0.3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</row>
    <row r="3496" spans="1:7" x14ac:dyDescent="0.3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 x14ac:dyDescent="0.3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 x14ac:dyDescent="0.3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G3498" s="1" t="s">
        <v>11203</v>
      </c>
    </row>
    <row r="3499" spans="1:7" x14ac:dyDescent="0.3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 x14ac:dyDescent="0.3">
      <c r="A3500" s="1" t="s">
        <v>572</v>
      </c>
      <c r="B3500" s="1" t="s">
        <v>11208</v>
      </c>
      <c r="D3500" s="1" t="s">
        <v>11061</v>
      </c>
      <c r="G3500" s="1" t="s">
        <v>11209</v>
      </c>
    </row>
    <row r="3501" spans="1:7" x14ac:dyDescent="0.3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G3501" s="1" t="s">
        <v>11213</v>
      </c>
    </row>
    <row r="3502" spans="1:7" x14ac:dyDescent="0.3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G3502" s="1" t="s">
        <v>11217</v>
      </c>
    </row>
    <row r="3503" spans="1:7" x14ac:dyDescent="0.3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</row>
    <row r="3504" spans="1:7" x14ac:dyDescent="0.3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G3504" s="1" t="s">
        <v>11222</v>
      </c>
    </row>
    <row r="3505" spans="1:7" x14ac:dyDescent="0.3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 x14ac:dyDescent="0.3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</row>
    <row r="3507" spans="1:7" x14ac:dyDescent="0.3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 x14ac:dyDescent="0.3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</row>
    <row r="3509" spans="1:7" x14ac:dyDescent="0.3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</row>
    <row r="3510" spans="1:7" x14ac:dyDescent="0.3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G3510" s="1" t="s">
        <v>11241</v>
      </c>
    </row>
    <row r="3511" spans="1:7" x14ac:dyDescent="0.3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G3511" s="1" t="s">
        <v>11244</v>
      </c>
    </row>
    <row r="3512" spans="1:7" x14ac:dyDescent="0.3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G3512" s="1" t="s">
        <v>11248</v>
      </c>
    </row>
    <row r="3513" spans="1:7" x14ac:dyDescent="0.3">
      <c r="A3513" s="1" t="s">
        <v>83</v>
      </c>
      <c r="B3513" s="1" t="s">
        <v>11249</v>
      </c>
      <c r="C3513" s="1" t="s">
        <v>11250</v>
      </c>
      <c r="D3513" s="1" t="s">
        <v>11247</v>
      </c>
      <c r="G3513" s="1" t="s">
        <v>11251</v>
      </c>
    </row>
    <row r="3514" spans="1:7" x14ac:dyDescent="0.3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 x14ac:dyDescent="0.3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 x14ac:dyDescent="0.3">
      <c r="A3516" s="1" t="s">
        <v>30</v>
      </c>
      <c r="B3516" s="1" t="s">
        <v>11261</v>
      </c>
      <c r="C3516" s="1" t="s">
        <v>11262</v>
      </c>
      <c r="D3516" s="1" t="s">
        <v>11247</v>
      </c>
      <c r="F3516" s="1" t="s">
        <v>11263</v>
      </c>
      <c r="G3516" s="1" t="s">
        <v>11264</v>
      </c>
    </row>
    <row r="3517" spans="1:7" x14ac:dyDescent="0.3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 x14ac:dyDescent="0.3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 x14ac:dyDescent="0.3">
      <c r="A3519" s="1" t="s">
        <v>680</v>
      </c>
      <c r="B3519" s="1" t="s">
        <v>11275</v>
      </c>
      <c r="C3519" s="1" t="s">
        <v>11276</v>
      </c>
      <c r="D3519" s="1" t="s">
        <v>11247</v>
      </c>
      <c r="G3519" s="1" t="s">
        <v>11277</v>
      </c>
    </row>
    <row r="3520" spans="1:7" x14ac:dyDescent="0.3">
      <c r="A3520" s="1" t="s">
        <v>30</v>
      </c>
      <c r="B3520" s="1" t="s">
        <v>11278</v>
      </c>
      <c r="C3520" s="1" t="s">
        <v>11279</v>
      </c>
      <c r="D3520" s="1" t="s">
        <v>11247</v>
      </c>
      <c r="G3520" s="1" t="s">
        <v>11280</v>
      </c>
    </row>
    <row r="3521" spans="1:7" x14ac:dyDescent="0.3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G3521" s="1" t="s">
        <v>11283</v>
      </c>
    </row>
    <row r="3522" spans="1:7" x14ac:dyDescent="0.3">
      <c r="A3522" s="1" t="s">
        <v>83</v>
      </c>
      <c r="B3522" s="1" t="s">
        <v>11284</v>
      </c>
      <c r="C3522" s="1" t="s">
        <v>11285</v>
      </c>
      <c r="D3522" s="1" t="s">
        <v>11247</v>
      </c>
      <c r="G3522" s="1" t="s">
        <v>11286</v>
      </c>
    </row>
    <row r="3523" spans="1:7" x14ac:dyDescent="0.3">
      <c r="A3523" s="1" t="s">
        <v>30</v>
      </c>
      <c r="B3523" s="1" t="s">
        <v>11287</v>
      </c>
      <c r="C3523" s="1" t="s">
        <v>11288</v>
      </c>
      <c r="D3523" s="1" t="s">
        <v>11247</v>
      </c>
      <c r="G3523" s="1" t="s">
        <v>11289</v>
      </c>
    </row>
    <row r="3524" spans="1:7" x14ac:dyDescent="0.3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 x14ac:dyDescent="0.3">
      <c r="A3525" s="1" t="s">
        <v>30</v>
      </c>
      <c r="B3525" s="1" t="s">
        <v>11295</v>
      </c>
      <c r="C3525" s="1" t="s">
        <v>11296</v>
      </c>
      <c r="D3525" s="1" t="s">
        <v>11247</v>
      </c>
      <c r="G3525" s="1" t="s">
        <v>11297</v>
      </c>
    </row>
    <row r="3526" spans="1:7" x14ac:dyDescent="0.3">
      <c r="A3526" s="1" t="s">
        <v>30</v>
      </c>
      <c r="B3526" s="1" t="s">
        <v>11298</v>
      </c>
      <c r="C3526" s="1" t="s">
        <v>11299</v>
      </c>
      <c r="D3526" s="1" t="s">
        <v>11247</v>
      </c>
      <c r="F3526" s="1" t="s">
        <v>11300</v>
      </c>
      <c r="G3526" s="1" t="s">
        <v>11301</v>
      </c>
    </row>
    <row r="3527" spans="1:7" x14ac:dyDescent="0.3">
      <c r="A3527" s="1" t="s">
        <v>30</v>
      </c>
      <c r="B3527" s="1" t="s">
        <v>11302</v>
      </c>
      <c r="C3527" s="1" t="s">
        <v>11303</v>
      </c>
      <c r="D3527" s="1" t="s">
        <v>11247</v>
      </c>
      <c r="G3527" s="1" t="s">
        <v>11304</v>
      </c>
    </row>
    <row r="3528" spans="1:7" x14ac:dyDescent="0.3">
      <c r="A3528" s="1" t="s">
        <v>30</v>
      </c>
      <c r="B3528" s="1" t="s">
        <v>11305</v>
      </c>
      <c r="C3528" s="1" t="s">
        <v>11306</v>
      </c>
      <c r="D3528" s="1" t="s">
        <v>11247</v>
      </c>
      <c r="G3528" s="1" t="s">
        <v>11307</v>
      </c>
    </row>
    <row r="3529" spans="1:7" x14ac:dyDescent="0.3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G3529" s="1" t="s">
        <v>11310</v>
      </c>
    </row>
    <row r="3530" spans="1:7" x14ac:dyDescent="0.3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G3530" s="1" t="s">
        <v>11313</v>
      </c>
    </row>
    <row r="3531" spans="1:7" x14ac:dyDescent="0.3">
      <c r="A3531" s="1" t="s">
        <v>30</v>
      </c>
      <c r="B3531" s="1" t="s">
        <v>11314</v>
      </c>
      <c r="C3531" s="1" t="s">
        <v>11315</v>
      </c>
      <c r="D3531" s="1" t="s">
        <v>11247</v>
      </c>
      <c r="G3531" s="1" t="s">
        <v>11316</v>
      </c>
    </row>
    <row r="3532" spans="1:7" x14ac:dyDescent="0.3">
      <c r="A3532" s="1" t="s">
        <v>30</v>
      </c>
      <c r="B3532" s="1" t="s">
        <v>11317</v>
      </c>
      <c r="C3532" s="1" t="s">
        <v>11318</v>
      </c>
      <c r="D3532" s="1" t="s">
        <v>11247</v>
      </c>
      <c r="G3532" s="1" t="s">
        <v>11319</v>
      </c>
    </row>
    <row r="3533" spans="1:7" x14ac:dyDescent="0.3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G3533" s="1" t="s">
        <v>11322</v>
      </c>
    </row>
    <row r="3534" spans="1:7" x14ac:dyDescent="0.3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G3534" s="1" t="s">
        <v>11325</v>
      </c>
    </row>
    <row r="3535" spans="1:7" x14ac:dyDescent="0.3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G3535" s="1" t="s">
        <v>11328</v>
      </c>
    </row>
    <row r="3536" spans="1:7" x14ac:dyDescent="0.3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G3536" s="1" t="s">
        <v>11331</v>
      </c>
    </row>
    <row r="3537" spans="1:7" x14ac:dyDescent="0.3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</row>
    <row r="3538" spans="1:7" x14ac:dyDescent="0.3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 x14ac:dyDescent="0.3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G3539" s="1" t="s">
        <v>11339</v>
      </c>
    </row>
    <row r="3540" spans="1:7" x14ac:dyDescent="0.3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G3540" s="1" t="s">
        <v>11342</v>
      </c>
    </row>
    <row r="3541" spans="1:7" x14ac:dyDescent="0.3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G3541" s="1" t="s">
        <v>11345</v>
      </c>
    </row>
    <row r="3542" spans="1:7" x14ac:dyDescent="0.3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G3542" s="1" t="s">
        <v>11348</v>
      </c>
    </row>
    <row r="3543" spans="1:7" x14ac:dyDescent="0.3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 x14ac:dyDescent="0.3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G3544" s="1" t="s">
        <v>11355</v>
      </c>
    </row>
    <row r="3545" spans="1:7" x14ac:dyDescent="0.3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G3545" s="1" t="s">
        <v>11358</v>
      </c>
    </row>
    <row r="3546" spans="1:7" x14ac:dyDescent="0.3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 x14ac:dyDescent="0.3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 x14ac:dyDescent="0.3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 x14ac:dyDescent="0.3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</row>
    <row r="3550" spans="1:7" x14ac:dyDescent="0.3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 x14ac:dyDescent="0.3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 x14ac:dyDescent="0.3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G3552" s="1" t="s">
        <v>11383</v>
      </c>
    </row>
    <row r="3553" spans="1:7" x14ac:dyDescent="0.3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 x14ac:dyDescent="0.3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 x14ac:dyDescent="0.3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 x14ac:dyDescent="0.3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G3556" s="1" t="s">
        <v>11397</v>
      </c>
    </row>
    <row r="3557" spans="1:7" x14ac:dyDescent="0.3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 x14ac:dyDescent="0.3">
      <c r="A3558" s="1" t="s">
        <v>36</v>
      </c>
      <c r="B3558" s="1" t="s">
        <v>11402</v>
      </c>
      <c r="C3558" s="1" t="s">
        <v>11403</v>
      </c>
      <c r="D3558" s="1" t="s">
        <v>11247</v>
      </c>
      <c r="G3558" s="1" t="s">
        <v>11404</v>
      </c>
    </row>
    <row r="3559" spans="1:7" x14ac:dyDescent="0.3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G3559" s="1" t="s">
        <v>11407</v>
      </c>
    </row>
    <row r="3560" spans="1:7" x14ac:dyDescent="0.3">
      <c r="A3560" s="1" t="s">
        <v>30</v>
      </c>
      <c r="B3560" s="1" t="s">
        <v>11408</v>
      </c>
      <c r="C3560" s="1" t="s">
        <v>11409</v>
      </c>
      <c r="D3560" s="1" t="s">
        <v>11247</v>
      </c>
      <c r="F3560" s="1" t="s">
        <v>11410</v>
      </c>
      <c r="G3560" s="1" t="s">
        <v>11411</v>
      </c>
    </row>
    <row r="3561" spans="1:7" x14ac:dyDescent="0.3">
      <c r="A3561" s="1" t="s">
        <v>30</v>
      </c>
      <c r="B3561" s="1" t="s">
        <v>11412</v>
      </c>
      <c r="D3561" s="1" t="s">
        <v>11247</v>
      </c>
      <c r="G3561" s="1" t="s">
        <v>11413</v>
      </c>
    </row>
    <row r="3562" spans="1:7" x14ac:dyDescent="0.3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G3562" s="1" t="s">
        <v>11413</v>
      </c>
    </row>
    <row r="3563" spans="1:7" x14ac:dyDescent="0.3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G3563" s="1" t="s">
        <v>11418</v>
      </c>
    </row>
    <row r="3564" spans="1:7" x14ac:dyDescent="0.3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G3564" s="1" t="s">
        <v>11421</v>
      </c>
    </row>
    <row r="3565" spans="1:7" x14ac:dyDescent="0.3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G3565" s="1" t="s">
        <v>11424</v>
      </c>
    </row>
    <row r="3566" spans="1:7" x14ac:dyDescent="0.3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G3566" s="1" t="s">
        <v>11427</v>
      </c>
    </row>
    <row r="3567" spans="1:7" x14ac:dyDescent="0.3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G3567" s="1" t="s">
        <v>11430</v>
      </c>
    </row>
    <row r="3568" spans="1:7" x14ac:dyDescent="0.3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 x14ac:dyDescent="0.3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</row>
    <row r="3570" spans="1:7" x14ac:dyDescent="0.3">
      <c r="A3570" s="1" t="s">
        <v>680</v>
      </c>
      <c r="B3570" s="1" t="s">
        <v>11436</v>
      </c>
      <c r="C3570" s="1" t="s">
        <v>11437</v>
      </c>
      <c r="D3570" s="1" t="s">
        <v>11247</v>
      </c>
      <c r="G3570" s="1" t="s">
        <v>11438</v>
      </c>
    </row>
    <row r="3571" spans="1:7" x14ac:dyDescent="0.3">
      <c r="A3571" s="1" t="s">
        <v>680</v>
      </c>
      <c r="B3571" s="1" t="s">
        <v>11439</v>
      </c>
      <c r="D3571" s="1" t="s">
        <v>11247</v>
      </c>
    </row>
    <row r="3572" spans="1:7" x14ac:dyDescent="0.3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 x14ac:dyDescent="0.3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 x14ac:dyDescent="0.3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 x14ac:dyDescent="0.3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 x14ac:dyDescent="0.3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 x14ac:dyDescent="0.3">
      <c r="A3577" s="1" t="s">
        <v>30</v>
      </c>
      <c r="B3577" s="1" t="s">
        <v>11459</v>
      </c>
      <c r="C3577" s="1" t="s">
        <v>11460</v>
      </c>
      <c r="D3577" s="1" t="s">
        <v>11247</v>
      </c>
      <c r="G3577" s="1" t="s">
        <v>11461</v>
      </c>
    </row>
    <row r="3578" spans="1:7" x14ac:dyDescent="0.3">
      <c r="A3578" s="1" t="s">
        <v>30</v>
      </c>
      <c r="B3578" s="1" t="s">
        <v>11462</v>
      </c>
      <c r="C3578" s="1" t="s">
        <v>11463</v>
      </c>
      <c r="D3578" s="1" t="s">
        <v>11247</v>
      </c>
      <c r="G3578" s="1" t="s">
        <v>11464</v>
      </c>
    </row>
    <row r="3579" spans="1:7" x14ac:dyDescent="0.3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 x14ac:dyDescent="0.3">
      <c r="A3580" s="1" t="s">
        <v>7</v>
      </c>
      <c r="B3580" s="1" t="s">
        <v>11469</v>
      </c>
      <c r="C3580" s="1" t="s">
        <v>11470</v>
      </c>
      <c r="D3580" s="1" t="s">
        <v>11247</v>
      </c>
      <c r="F3580" s="1" t="s">
        <v>11471</v>
      </c>
      <c r="G3580" s="1" t="s">
        <v>11472</v>
      </c>
    </row>
    <row r="3581" spans="1:7" x14ac:dyDescent="0.3">
      <c r="A3581" s="1" t="s">
        <v>30</v>
      </c>
      <c r="B3581" s="1" t="s">
        <v>5887</v>
      </c>
      <c r="C3581" s="1" t="s">
        <v>11473</v>
      </c>
      <c r="D3581" s="1" t="s">
        <v>11247</v>
      </c>
      <c r="F3581" s="1" t="s">
        <v>11474</v>
      </c>
      <c r="G3581" s="1" t="s">
        <v>11475</v>
      </c>
    </row>
    <row r="3582" spans="1:7" x14ac:dyDescent="0.3">
      <c r="A3582" s="1" t="s">
        <v>30</v>
      </c>
      <c r="B3582" s="1" t="s">
        <v>11476</v>
      </c>
      <c r="C3582" s="1" t="s">
        <v>11477</v>
      </c>
      <c r="D3582" s="1" t="s">
        <v>11247</v>
      </c>
      <c r="F3582" s="1" t="s">
        <v>11478</v>
      </c>
      <c r="G3582" s="1" t="s">
        <v>11479</v>
      </c>
    </row>
    <row r="3583" spans="1:7" x14ac:dyDescent="0.3">
      <c r="A3583" s="1" t="s">
        <v>30</v>
      </c>
      <c r="B3583" s="1" t="s">
        <v>11480</v>
      </c>
      <c r="C3583" s="1" t="s">
        <v>11481</v>
      </c>
      <c r="D3583" s="1" t="s">
        <v>11247</v>
      </c>
      <c r="G3583" s="1" t="s">
        <v>11482</v>
      </c>
    </row>
    <row r="3584" spans="1:7" x14ac:dyDescent="0.3">
      <c r="A3584" s="1" t="s">
        <v>30</v>
      </c>
      <c r="B3584" s="1" t="s">
        <v>11483</v>
      </c>
      <c r="C3584" s="1" t="s">
        <v>11484</v>
      </c>
      <c r="D3584" s="1" t="s">
        <v>11247</v>
      </c>
      <c r="F3584" s="1" t="s">
        <v>11485</v>
      </c>
      <c r="G3584" s="1" t="s">
        <v>11486</v>
      </c>
    </row>
    <row r="3585" spans="1:7" x14ac:dyDescent="0.3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 x14ac:dyDescent="0.3">
      <c r="A3586" s="1" t="s">
        <v>30</v>
      </c>
      <c r="B3586" s="1" t="s">
        <v>11492</v>
      </c>
      <c r="C3586" s="1" t="s">
        <v>11493</v>
      </c>
      <c r="D3586" s="1" t="s">
        <v>11247</v>
      </c>
      <c r="F3586" s="1" t="s">
        <v>11494</v>
      </c>
      <c r="G3586" s="1" t="s">
        <v>11495</v>
      </c>
    </row>
    <row r="3587" spans="1:7" x14ac:dyDescent="0.3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G3587" s="1" t="s">
        <v>11498</v>
      </c>
    </row>
    <row r="3588" spans="1:7" x14ac:dyDescent="0.3">
      <c r="A3588" s="1" t="s">
        <v>30</v>
      </c>
      <c r="B3588" s="1" t="s">
        <v>11499</v>
      </c>
      <c r="C3588" s="1" t="s">
        <v>11500</v>
      </c>
      <c r="D3588" s="1" t="s">
        <v>11247</v>
      </c>
      <c r="G3588" s="1" t="s">
        <v>11501</v>
      </c>
    </row>
    <row r="3589" spans="1:7" x14ac:dyDescent="0.3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 x14ac:dyDescent="0.3">
      <c r="A3590" s="1" t="s">
        <v>30</v>
      </c>
      <c r="B3590" s="1" t="s">
        <v>11506</v>
      </c>
      <c r="C3590" s="1" t="s">
        <v>11507</v>
      </c>
      <c r="D3590" s="1" t="s">
        <v>11247</v>
      </c>
    </row>
    <row r="3591" spans="1:7" x14ac:dyDescent="0.3">
      <c r="A3591" s="1" t="s">
        <v>30</v>
      </c>
      <c r="B3591" s="1" t="s">
        <v>11508</v>
      </c>
      <c r="C3591" s="1" t="s">
        <v>11509</v>
      </c>
      <c r="D3591" s="1" t="s">
        <v>11247</v>
      </c>
      <c r="G3591" s="1" t="s">
        <v>11510</v>
      </c>
    </row>
    <row r="3592" spans="1:7" x14ac:dyDescent="0.3">
      <c r="A3592" s="1" t="s">
        <v>30</v>
      </c>
      <c r="B3592" s="1" t="s">
        <v>11511</v>
      </c>
      <c r="C3592" s="1" t="s">
        <v>11512</v>
      </c>
      <c r="D3592" s="1" t="s">
        <v>11247</v>
      </c>
      <c r="F3592" s="1" t="s">
        <v>11513</v>
      </c>
      <c r="G3592" s="1" t="s">
        <v>11514</v>
      </c>
    </row>
    <row r="3593" spans="1:7" x14ac:dyDescent="0.3">
      <c r="A3593" s="1" t="s">
        <v>30</v>
      </c>
      <c r="B3593" s="1" t="s">
        <v>11515</v>
      </c>
      <c r="C3593" s="1" t="s">
        <v>11516</v>
      </c>
      <c r="D3593" s="1" t="s">
        <v>11247</v>
      </c>
      <c r="F3593" s="1" t="s">
        <v>11517</v>
      </c>
      <c r="G3593" s="1" t="s">
        <v>11518</v>
      </c>
    </row>
    <row r="3594" spans="1:7" x14ac:dyDescent="0.3">
      <c r="A3594" s="1" t="s">
        <v>404</v>
      </c>
      <c r="B3594" s="1" t="s">
        <v>11519</v>
      </c>
      <c r="C3594" s="1" t="s">
        <v>11520</v>
      </c>
      <c r="D3594" s="1" t="s">
        <v>11247</v>
      </c>
      <c r="F3594" s="1" t="s">
        <v>11521</v>
      </c>
      <c r="G3594" s="1" t="s">
        <v>11522</v>
      </c>
    </row>
    <row r="3595" spans="1:7" x14ac:dyDescent="0.3">
      <c r="A3595" s="1" t="s">
        <v>30</v>
      </c>
      <c r="B3595" s="1" t="s">
        <v>11523</v>
      </c>
      <c r="C3595" s="1" t="s">
        <v>11524</v>
      </c>
      <c r="D3595" s="1" t="s">
        <v>11247</v>
      </c>
      <c r="G3595" s="1" t="s">
        <v>11525</v>
      </c>
    </row>
    <row r="3596" spans="1:7" x14ac:dyDescent="0.3">
      <c r="A3596" s="1" t="s">
        <v>30</v>
      </c>
      <c r="B3596" s="1" t="s">
        <v>11526</v>
      </c>
      <c r="C3596" s="1" t="s">
        <v>11509</v>
      </c>
      <c r="D3596" s="1" t="s">
        <v>11247</v>
      </c>
      <c r="F3596" s="1" t="s">
        <v>11527</v>
      </c>
      <c r="G3596" s="1" t="s">
        <v>11528</v>
      </c>
    </row>
    <row r="3597" spans="1:7" x14ac:dyDescent="0.3">
      <c r="A3597" s="1" t="s">
        <v>36</v>
      </c>
      <c r="B3597" s="1" t="s">
        <v>11529</v>
      </c>
      <c r="C3597" s="1" t="s">
        <v>11530</v>
      </c>
      <c r="D3597" s="1" t="s">
        <v>11247</v>
      </c>
      <c r="G3597" s="1" t="s">
        <v>11531</v>
      </c>
    </row>
    <row r="3598" spans="1:7" x14ac:dyDescent="0.3">
      <c r="A3598" s="1" t="s">
        <v>30</v>
      </c>
      <c r="B3598" s="1" t="s">
        <v>8464</v>
      </c>
      <c r="C3598" s="1" t="s">
        <v>11532</v>
      </c>
      <c r="D3598" s="1" t="s">
        <v>11247</v>
      </c>
      <c r="G3598" s="1" t="s">
        <v>11533</v>
      </c>
    </row>
    <row r="3599" spans="1:7" x14ac:dyDescent="0.3">
      <c r="A3599" s="1" t="s">
        <v>30</v>
      </c>
      <c r="B3599" s="1" t="s">
        <v>11534</v>
      </c>
      <c r="C3599" s="1" t="s">
        <v>11535</v>
      </c>
      <c r="D3599" s="1" t="s">
        <v>11247</v>
      </c>
      <c r="G3599" s="1" t="s">
        <v>11536</v>
      </c>
    </row>
    <row r="3600" spans="1:7" x14ac:dyDescent="0.3">
      <c r="A3600" s="1" t="s">
        <v>30</v>
      </c>
      <c r="B3600" s="1" t="s">
        <v>11537</v>
      </c>
      <c r="C3600" s="1" t="s">
        <v>11538</v>
      </c>
      <c r="D3600" s="1" t="s">
        <v>11247</v>
      </c>
      <c r="G3600" s="1" t="s">
        <v>11539</v>
      </c>
    </row>
    <row r="3601" spans="1:7" x14ac:dyDescent="0.3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 x14ac:dyDescent="0.3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 x14ac:dyDescent="0.3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 x14ac:dyDescent="0.3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 x14ac:dyDescent="0.3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 x14ac:dyDescent="0.3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 x14ac:dyDescent="0.3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 x14ac:dyDescent="0.3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 x14ac:dyDescent="0.3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G3609" s="1" t="s">
        <v>11572</v>
      </c>
    </row>
    <row r="3610" spans="1:7" x14ac:dyDescent="0.3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 x14ac:dyDescent="0.3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G3611" s="1" t="s">
        <v>11579</v>
      </c>
    </row>
    <row r="3612" spans="1:7" x14ac:dyDescent="0.3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G3612" s="1" t="s">
        <v>11582</v>
      </c>
    </row>
    <row r="3613" spans="1:7" x14ac:dyDescent="0.3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 x14ac:dyDescent="0.3">
      <c r="A3614" s="1" t="s">
        <v>680</v>
      </c>
      <c r="B3614" s="1" t="s">
        <v>11588</v>
      </c>
      <c r="C3614" s="1" t="s">
        <v>11589</v>
      </c>
      <c r="D3614" s="1" t="s">
        <v>11247</v>
      </c>
      <c r="F3614" s="1" t="s">
        <v>11590</v>
      </c>
      <c r="G3614" s="1" t="s">
        <v>11591</v>
      </c>
    </row>
    <row r="3615" spans="1:7" x14ac:dyDescent="0.3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</row>
    <row r="3616" spans="1:7" x14ac:dyDescent="0.3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</row>
    <row r="3617" spans="1:7" x14ac:dyDescent="0.3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</row>
    <row r="3618" spans="1:7" x14ac:dyDescent="0.3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</row>
    <row r="3619" spans="1:7" x14ac:dyDescent="0.3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</row>
    <row r="3620" spans="1:7" x14ac:dyDescent="0.3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</row>
    <row r="3621" spans="1:7" x14ac:dyDescent="0.3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</row>
    <row r="3622" spans="1:7" x14ac:dyDescent="0.3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</row>
    <row r="3623" spans="1:7" x14ac:dyDescent="0.3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</row>
    <row r="3624" spans="1:7" x14ac:dyDescent="0.3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</row>
    <row r="3625" spans="1:7" x14ac:dyDescent="0.3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</row>
    <row r="3626" spans="1:7" x14ac:dyDescent="0.3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</row>
    <row r="3627" spans="1:7" x14ac:dyDescent="0.3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</row>
    <row r="3628" spans="1:7" x14ac:dyDescent="0.3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</row>
    <row r="3629" spans="1:7" x14ac:dyDescent="0.3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</row>
    <row r="3630" spans="1:7" x14ac:dyDescent="0.3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 x14ac:dyDescent="0.3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</row>
    <row r="3632" spans="1:7" x14ac:dyDescent="0.3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</row>
    <row r="3633" spans="1:7" x14ac:dyDescent="0.3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</row>
    <row r="3634" spans="1:7" x14ac:dyDescent="0.3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 x14ac:dyDescent="0.3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</row>
    <row r="3636" spans="1:7" x14ac:dyDescent="0.3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</row>
    <row r="3637" spans="1:7" x14ac:dyDescent="0.3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G3637" s="1" t="s">
        <v>11427</v>
      </c>
    </row>
    <row r="3638" spans="1:7" x14ac:dyDescent="0.3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</row>
    <row r="3639" spans="1:7" x14ac:dyDescent="0.3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G3639" s="1" t="s">
        <v>11438</v>
      </c>
    </row>
    <row r="3640" spans="1:7" x14ac:dyDescent="0.3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</row>
    <row r="3641" spans="1:7" x14ac:dyDescent="0.3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</row>
    <row r="3642" spans="1:7" x14ac:dyDescent="0.3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</row>
    <row r="3643" spans="1:7" x14ac:dyDescent="0.3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</row>
    <row r="3644" spans="1:7" x14ac:dyDescent="0.3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</row>
    <row r="3645" spans="1:7" x14ac:dyDescent="0.3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</row>
    <row r="3646" spans="1:7" x14ac:dyDescent="0.3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</row>
    <row r="3647" spans="1:7" x14ac:dyDescent="0.3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</row>
    <row r="3648" spans="1:7" x14ac:dyDescent="0.3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 x14ac:dyDescent="0.3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 x14ac:dyDescent="0.3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 x14ac:dyDescent="0.3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 x14ac:dyDescent="0.3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 x14ac:dyDescent="0.3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 x14ac:dyDescent="0.3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G3654" s="1" t="s">
        <v>11683</v>
      </c>
    </row>
    <row r="3655" spans="1:7" x14ac:dyDescent="0.3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G3655" s="1" t="s">
        <v>11686</v>
      </c>
    </row>
    <row r="3656" spans="1:7" x14ac:dyDescent="0.3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G3656" s="1" t="s">
        <v>11689</v>
      </c>
    </row>
    <row r="3657" spans="1:7" x14ac:dyDescent="0.3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 x14ac:dyDescent="0.3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G3658" s="1" t="s">
        <v>11438</v>
      </c>
    </row>
    <row r="3659" spans="1:7" x14ac:dyDescent="0.3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</row>
    <row r="3660" spans="1:7" x14ac:dyDescent="0.3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G3660" s="1" t="s">
        <v>11700</v>
      </c>
    </row>
    <row r="3661" spans="1:7" x14ac:dyDescent="0.3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</row>
    <row r="3662" spans="1:7" x14ac:dyDescent="0.3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 x14ac:dyDescent="0.3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</row>
    <row r="3664" spans="1:7" x14ac:dyDescent="0.3">
      <c r="A3664" s="1" t="s">
        <v>680</v>
      </c>
      <c r="B3664" s="1" t="s">
        <v>11711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 x14ac:dyDescent="0.3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</row>
    <row r="3666" spans="1:7" x14ac:dyDescent="0.3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</row>
    <row r="3667" spans="1:7" x14ac:dyDescent="0.3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</row>
    <row r="3668" spans="1:7" x14ac:dyDescent="0.3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 x14ac:dyDescent="0.3">
      <c r="A3669" s="1" t="s">
        <v>7</v>
      </c>
      <c r="B3669" s="1" t="s">
        <v>11722</v>
      </c>
      <c r="C3669" s="1" t="s">
        <v>11723</v>
      </c>
      <c r="D3669" s="1" t="s">
        <v>11719</v>
      </c>
      <c r="G3669" s="1" t="s">
        <v>11724</v>
      </c>
    </row>
    <row r="3670" spans="1:7" x14ac:dyDescent="0.3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 x14ac:dyDescent="0.3">
      <c r="A3671" s="1" t="s">
        <v>89</v>
      </c>
      <c r="B3671" s="1" t="s">
        <v>138</v>
      </c>
      <c r="D3671" s="1" t="s">
        <v>11719</v>
      </c>
    </row>
    <row r="3672" spans="1:7" x14ac:dyDescent="0.3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G3672" s="1" t="s">
        <v>11732</v>
      </c>
    </row>
    <row r="3673" spans="1:7" x14ac:dyDescent="0.3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 x14ac:dyDescent="0.3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 x14ac:dyDescent="0.3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 x14ac:dyDescent="0.3">
      <c r="A3676" s="1" t="s">
        <v>83</v>
      </c>
      <c r="B3676" s="1" t="s">
        <v>11744</v>
      </c>
      <c r="C3676" s="1" t="s">
        <v>11745</v>
      </c>
      <c r="D3676" s="1" t="s">
        <v>11731</v>
      </c>
      <c r="G3676" s="1" t="s">
        <v>11746</v>
      </c>
    </row>
    <row r="3677" spans="1:7" x14ac:dyDescent="0.3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 x14ac:dyDescent="0.3">
      <c r="A3678" s="1" t="s">
        <v>21</v>
      </c>
      <c r="B3678" s="1" t="s">
        <v>11752</v>
      </c>
      <c r="C3678" s="1" t="s">
        <v>11753</v>
      </c>
      <c r="D3678" s="1" t="s">
        <v>11731</v>
      </c>
      <c r="F3678" s="1" t="s">
        <v>11754</v>
      </c>
      <c r="G3678" s="1" t="s">
        <v>11755</v>
      </c>
    </row>
    <row r="3679" spans="1:7" x14ac:dyDescent="0.3">
      <c r="A3679" s="1" t="s">
        <v>13</v>
      </c>
      <c r="B3679" s="1" t="s">
        <v>11756</v>
      </c>
      <c r="C3679" s="1" t="s">
        <v>11757</v>
      </c>
      <c r="D3679" s="1" t="s">
        <v>11731</v>
      </c>
      <c r="G3679" s="1" t="s">
        <v>11758</v>
      </c>
    </row>
    <row r="3680" spans="1:7" x14ac:dyDescent="0.3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G3680" s="1" t="s">
        <v>11761</v>
      </c>
    </row>
    <row r="3681" spans="1:7" x14ac:dyDescent="0.3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 x14ac:dyDescent="0.3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 x14ac:dyDescent="0.3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G3683" s="1" t="s">
        <v>11774</v>
      </c>
    </row>
    <row r="3684" spans="1:7" x14ac:dyDescent="0.3">
      <c r="A3684" s="1" t="s">
        <v>30</v>
      </c>
      <c r="B3684" s="1" t="s">
        <v>11775</v>
      </c>
      <c r="C3684" s="1" t="s">
        <v>11776</v>
      </c>
      <c r="D3684" s="1" t="s">
        <v>11772</v>
      </c>
      <c r="G3684" s="1" t="s">
        <v>11777</v>
      </c>
    </row>
    <row r="3685" spans="1:7" x14ac:dyDescent="0.3">
      <c r="A3685" s="1" t="s">
        <v>83</v>
      </c>
      <c r="B3685" s="1" t="s">
        <v>11778</v>
      </c>
      <c r="D3685" s="1" t="s">
        <v>11772</v>
      </c>
      <c r="E3685" s="1" t="s">
        <v>11779</v>
      </c>
      <c r="G3685" s="1" t="s">
        <v>11780</v>
      </c>
    </row>
    <row r="3686" spans="1:7" x14ac:dyDescent="0.3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G3686" s="1" t="s">
        <v>11783</v>
      </c>
    </row>
    <row r="3687" spans="1:7" x14ac:dyDescent="0.3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G3687" s="1" t="s">
        <v>11786</v>
      </c>
    </row>
    <row r="3688" spans="1:7" x14ac:dyDescent="0.3">
      <c r="A3688" s="1" t="s">
        <v>30</v>
      </c>
      <c r="B3688" s="1" t="s">
        <v>11787</v>
      </c>
      <c r="D3688" s="1" t="s">
        <v>11772</v>
      </c>
      <c r="E3688" s="1" t="s">
        <v>11788</v>
      </c>
      <c r="G3688" s="1" t="s">
        <v>11789</v>
      </c>
    </row>
    <row r="3689" spans="1:7" x14ac:dyDescent="0.3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G3689" s="1" t="s">
        <v>11792</v>
      </c>
    </row>
    <row r="3690" spans="1:7" x14ac:dyDescent="0.3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G3690" s="1" t="s">
        <v>11796</v>
      </c>
    </row>
    <row r="3691" spans="1:7" x14ac:dyDescent="0.3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 x14ac:dyDescent="0.3">
      <c r="A3692" s="1" t="s">
        <v>36</v>
      </c>
      <c r="B3692" s="1" t="s">
        <v>11801</v>
      </c>
      <c r="C3692" s="1" t="s">
        <v>11802</v>
      </c>
      <c r="D3692" s="1" t="s">
        <v>11795</v>
      </c>
      <c r="F3692" s="1" t="s">
        <v>11803</v>
      </c>
      <c r="G3692" s="1" t="s">
        <v>11804</v>
      </c>
    </row>
    <row r="3693" spans="1:7" x14ac:dyDescent="0.3">
      <c r="A3693" s="1" t="s">
        <v>30</v>
      </c>
      <c r="B3693" s="1" t="s">
        <v>11805</v>
      </c>
      <c r="C3693" s="1" t="s">
        <v>11806</v>
      </c>
      <c r="D3693" s="1" t="s">
        <v>11795</v>
      </c>
      <c r="F3693" s="1" t="s">
        <v>11807</v>
      </c>
      <c r="G3693" s="1" t="s">
        <v>11808</v>
      </c>
    </row>
    <row r="3694" spans="1:7" x14ac:dyDescent="0.3">
      <c r="A3694" s="1" t="s">
        <v>89</v>
      </c>
      <c r="B3694" s="1" t="s">
        <v>138</v>
      </c>
      <c r="D3694" s="1" t="s">
        <v>11795</v>
      </c>
      <c r="E3694" s="1" t="s">
        <v>11809</v>
      </c>
    </row>
    <row r="3695" spans="1:7" x14ac:dyDescent="0.3">
      <c r="A3695" s="1" t="s">
        <v>36</v>
      </c>
      <c r="B3695" s="1" t="s">
        <v>11810</v>
      </c>
      <c r="C3695" s="1" t="s">
        <v>11811</v>
      </c>
      <c r="D3695" s="1" t="s">
        <v>11795</v>
      </c>
      <c r="G3695" s="1" t="s">
        <v>11812</v>
      </c>
    </row>
    <row r="3696" spans="1:7" x14ac:dyDescent="0.3">
      <c r="A3696" s="1" t="s">
        <v>301</v>
      </c>
      <c r="B3696" s="1" t="s">
        <v>11813</v>
      </c>
      <c r="C3696" s="1" t="s">
        <v>11814</v>
      </c>
      <c r="D3696" s="1" t="s">
        <v>11795</v>
      </c>
      <c r="F3696" s="1" t="s">
        <v>11815</v>
      </c>
      <c r="G3696" s="1" t="s">
        <v>11816</v>
      </c>
    </row>
    <row r="3697" spans="1:7" x14ac:dyDescent="0.3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 x14ac:dyDescent="0.3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 x14ac:dyDescent="0.3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G3699" s="1" t="s">
        <v>11827</v>
      </c>
    </row>
    <row r="3700" spans="1:7" x14ac:dyDescent="0.3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</row>
    <row r="3701" spans="1:7" x14ac:dyDescent="0.3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 x14ac:dyDescent="0.3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</row>
    <row r="3703" spans="1:7" x14ac:dyDescent="0.3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 x14ac:dyDescent="0.3">
      <c r="A3704" s="1" t="s">
        <v>572</v>
      </c>
      <c r="B3704" s="1" t="s">
        <v>11837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 x14ac:dyDescent="0.3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</row>
    <row r="3706" spans="1:7" x14ac:dyDescent="0.3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 x14ac:dyDescent="0.3">
      <c r="A3707" s="1" t="s">
        <v>13</v>
      </c>
      <c r="B3707" s="1" t="s">
        <v>11847</v>
      </c>
      <c r="C3707" s="1" t="s">
        <v>11848</v>
      </c>
      <c r="D3707" s="1" t="s">
        <v>11795</v>
      </c>
      <c r="F3707" s="1" t="s">
        <v>11849</v>
      </c>
      <c r="G3707" s="1" t="s">
        <v>11850</v>
      </c>
    </row>
    <row r="3708" spans="1:7" x14ac:dyDescent="0.3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 x14ac:dyDescent="0.3">
      <c r="A3709" s="1" t="s">
        <v>89</v>
      </c>
      <c r="B3709" s="1" t="s">
        <v>11856</v>
      </c>
      <c r="D3709" s="1" t="s">
        <v>11857</v>
      </c>
      <c r="E3709" s="1" t="s">
        <v>11858</v>
      </c>
      <c r="G3709" s="1" t="s">
        <v>11859</v>
      </c>
    </row>
    <row r="3710" spans="1:7" x14ac:dyDescent="0.3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 x14ac:dyDescent="0.3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 x14ac:dyDescent="0.3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</row>
    <row r="3713" spans="1:7" x14ac:dyDescent="0.3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 x14ac:dyDescent="0.3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G3714" s="1" t="s">
        <v>11878</v>
      </c>
    </row>
    <row r="3715" spans="1:7" x14ac:dyDescent="0.3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</row>
    <row r="3716" spans="1:7" x14ac:dyDescent="0.3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 x14ac:dyDescent="0.3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 x14ac:dyDescent="0.3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G3718" s="1" t="s">
        <v>11887</v>
      </c>
    </row>
    <row r="3719" spans="1:7" x14ac:dyDescent="0.3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G3719" s="1" t="s">
        <v>11890</v>
      </c>
    </row>
    <row r="3720" spans="1:7" x14ac:dyDescent="0.3">
      <c r="A3720" s="1" t="s">
        <v>7</v>
      </c>
      <c r="B3720" s="1" t="s">
        <v>11891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 x14ac:dyDescent="0.3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 x14ac:dyDescent="0.3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 x14ac:dyDescent="0.3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 x14ac:dyDescent="0.3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G3724" s="1" t="s">
        <v>11911</v>
      </c>
    </row>
    <row r="3725" spans="1:7" x14ac:dyDescent="0.3">
      <c r="A3725" s="1" t="s">
        <v>13</v>
      </c>
      <c r="B3725" s="1" t="s">
        <v>11912</v>
      </c>
      <c r="C3725" s="1" t="s">
        <v>11913</v>
      </c>
      <c r="D3725" s="1" t="s">
        <v>11886</v>
      </c>
      <c r="G3725" s="1" t="s">
        <v>11914</v>
      </c>
    </row>
    <row r="3726" spans="1:7" x14ac:dyDescent="0.3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G3726" s="1" t="s">
        <v>11918</v>
      </c>
    </row>
    <row r="3727" spans="1:7" x14ac:dyDescent="0.3">
      <c r="A3727" s="1" t="s">
        <v>13</v>
      </c>
      <c r="B3727" s="1" t="s">
        <v>11919</v>
      </c>
      <c r="C3727" s="1" t="s">
        <v>11920</v>
      </c>
      <c r="D3727" s="1" t="s">
        <v>11886</v>
      </c>
      <c r="G3727" s="1" t="s">
        <v>11921</v>
      </c>
    </row>
    <row r="3728" spans="1:7" x14ac:dyDescent="0.3">
      <c r="A3728" s="1" t="s">
        <v>13</v>
      </c>
      <c r="B3728" s="1" t="s">
        <v>11922</v>
      </c>
      <c r="C3728" s="1" t="s">
        <v>11923</v>
      </c>
      <c r="D3728" s="1" t="s">
        <v>11886</v>
      </c>
      <c r="G3728" s="1" t="s">
        <v>11924</v>
      </c>
    </row>
    <row r="3729" spans="1:7" x14ac:dyDescent="0.3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G3729" s="1" t="s">
        <v>11928</v>
      </c>
    </row>
    <row r="3730" spans="1:7" x14ac:dyDescent="0.3">
      <c r="A3730" s="1" t="s">
        <v>13</v>
      </c>
      <c r="B3730" s="1" t="s">
        <v>11929</v>
      </c>
      <c r="C3730" s="1" t="s">
        <v>11930</v>
      </c>
      <c r="D3730" s="1" t="s">
        <v>11886</v>
      </c>
      <c r="G3730" s="1" t="s">
        <v>11931</v>
      </c>
    </row>
    <row r="3731" spans="1:7" x14ac:dyDescent="0.3">
      <c r="A3731" s="1" t="s">
        <v>13</v>
      </c>
      <c r="B3731" s="1" t="s">
        <v>11932</v>
      </c>
      <c r="C3731" s="1" t="s">
        <v>11933</v>
      </c>
      <c r="D3731" s="1" t="s">
        <v>11886</v>
      </c>
    </row>
    <row r="3732" spans="1:7" x14ac:dyDescent="0.3">
      <c r="A3732" s="1" t="s">
        <v>13</v>
      </c>
      <c r="B3732" s="1" t="s">
        <v>11934</v>
      </c>
      <c r="C3732" s="1" t="s">
        <v>11935</v>
      </c>
      <c r="D3732" s="1" t="s">
        <v>11886</v>
      </c>
      <c r="G3732" s="1" t="s">
        <v>11936</v>
      </c>
    </row>
    <row r="3733" spans="1:7" x14ac:dyDescent="0.3">
      <c r="A3733" s="1" t="s">
        <v>13</v>
      </c>
      <c r="B3733" s="1" t="s">
        <v>11932</v>
      </c>
      <c r="C3733" s="1" t="s">
        <v>11937</v>
      </c>
      <c r="D3733" s="1" t="s">
        <v>11886</v>
      </c>
    </row>
    <row r="3734" spans="1:7" x14ac:dyDescent="0.3">
      <c r="A3734" s="1" t="s">
        <v>13</v>
      </c>
      <c r="B3734" s="1" t="s">
        <v>11938</v>
      </c>
      <c r="C3734" s="1" t="s">
        <v>11939</v>
      </c>
      <c r="D3734" s="1" t="s">
        <v>11886</v>
      </c>
      <c r="G3734" s="1" t="s">
        <v>11940</v>
      </c>
    </row>
    <row r="3735" spans="1:7" x14ac:dyDescent="0.3">
      <c r="A3735" s="1" t="s">
        <v>13</v>
      </c>
      <c r="B3735" s="1" t="s">
        <v>11941</v>
      </c>
      <c r="C3735" s="1" t="s">
        <v>11942</v>
      </c>
      <c r="D3735" s="1" t="s">
        <v>11886</v>
      </c>
      <c r="G3735" s="1" t="s">
        <v>11943</v>
      </c>
    </row>
    <row r="3736" spans="1:7" x14ac:dyDescent="0.3">
      <c r="A3736" s="1" t="s">
        <v>13</v>
      </c>
      <c r="B3736" s="1" t="s">
        <v>11944</v>
      </c>
      <c r="C3736" s="1" t="s">
        <v>11945</v>
      </c>
      <c r="D3736" s="1" t="s">
        <v>11886</v>
      </c>
      <c r="G3736" s="1" t="s">
        <v>11946</v>
      </c>
    </row>
    <row r="3737" spans="1:7" x14ac:dyDescent="0.3">
      <c r="A3737" s="1" t="s">
        <v>13</v>
      </c>
      <c r="B3737" s="1" t="s">
        <v>11947</v>
      </c>
      <c r="D3737" s="1" t="s">
        <v>11886</v>
      </c>
      <c r="G3737" s="1" t="s">
        <v>11948</v>
      </c>
    </row>
    <row r="3738" spans="1:7" x14ac:dyDescent="0.3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 x14ac:dyDescent="0.3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 x14ac:dyDescent="0.3">
      <c r="A3740" s="1" t="s">
        <v>13</v>
      </c>
      <c r="B3740" s="1" t="s">
        <v>11956</v>
      </c>
      <c r="C3740" s="1" t="s">
        <v>11957</v>
      </c>
      <c r="D3740" s="1" t="s">
        <v>11886</v>
      </c>
      <c r="G3740" s="1" t="s">
        <v>11958</v>
      </c>
    </row>
    <row r="3741" spans="1:7" x14ac:dyDescent="0.3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 x14ac:dyDescent="0.3">
      <c r="A3742" s="1" t="s">
        <v>13</v>
      </c>
      <c r="B3742" s="1" t="s">
        <v>11959</v>
      </c>
      <c r="C3742" s="1" t="s">
        <v>11960</v>
      </c>
      <c r="D3742" s="1" t="s">
        <v>11886</v>
      </c>
      <c r="G3742" s="1" t="s">
        <v>11961</v>
      </c>
    </row>
    <row r="3743" spans="1:7" x14ac:dyDescent="0.3">
      <c r="A3743" s="1" t="s">
        <v>36</v>
      </c>
      <c r="B3743" s="1" t="s">
        <v>11962</v>
      </c>
      <c r="C3743" s="1" t="s">
        <v>11963</v>
      </c>
      <c r="D3743" s="1" t="s">
        <v>11886</v>
      </c>
      <c r="F3743" s="1" t="s">
        <v>11964</v>
      </c>
      <c r="G3743" s="1" t="s">
        <v>11965</v>
      </c>
    </row>
    <row r="3744" spans="1:7" x14ac:dyDescent="0.3">
      <c r="A3744" s="1" t="s">
        <v>36</v>
      </c>
      <c r="B3744" s="1" t="s">
        <v>11966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 x14ac:dyDescent="0.3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 x14ac:dyDescent="0.3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</row>
    <row r="3747" spans="1:7" x14ac:dyDescent="0.3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 x14ac:dyDescent="0.3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G3748" s="1" t="s">
        <v>11979</v>
      </c>
    </row>
    <row r="3749" spans="1:7" x14ac:dyDescent="0.3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</row>
    <row r="3750" spans="1:7" x14ac:dyDescent="0.3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 x14ac:dyDescent="0.3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 x14ac:dyDescent="0.3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 x14ac:dyDescent="0.3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 x14ac:dyDescent="0.3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</row>
    <row r="3755" spans="1:7" x14ac:dyDescent="0.3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G3755" s="1" t="s">
        <v>12004</v>
      </c>
    </row>
    <row r="3756" spans="1:7" x14ac:dyDescent="0.3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 x14ac:dyDescent="0.3">
      <c r="A3757" s="1" t="s">
        <v>13</v>
      </c>
      <c r="B3757" s="1" t="s">
        <v>12009</v>
      </c>
      <c r="C3757" s="1" t="s">
        <v>12010</v>
      </c>
      <c r="D3757" s="1" t="s">
        <v>11984</v>
      </c>
      <c r="G3757" s="1" t="s">
        <v>12011</v>
      </c>
    </row>
    <row r="3758" spans="1:7" x14ac:dyDescent="0.3">
      <c r="A3758" s="1" t="s">
        <v>13</v>
      </c>
      <c r="B3758" s="1" t="s">
        <v>12012</v>
      </c>
      <c r="C3758" s="1" t="s">
        <v>12013</v>
      </c>
      <c r="D3758" s="1" t="s">
        <v>11984</v>
      </c>
    </row>
    <row r="3759" spans="1:7" x14ac:dyDescent="0.3">
      <c r="A3759" s="1" t="s">
        <v>30</v>
      </c>
      <c r="B3759" s="1" t="s">
        <v>12014</v>
      </c>
      <c r="C3759" s="1" t="s">
        <v>12015</v>
      </c>
      <c r="D3759" s="1" t="s">
        <v>11984</v>
      </c>
      <c r="G3759" s="1" t="s">
        <v>12016</v>
      </c>
    </row>
    <row r="3760" spans="1:7" x14ac:dyDescent="0.3">
      <c r="A3760" s="1" t="s">
        <v>30</v>
      </c>
      <c r="B3760" s="1" t="s">
        <v>12017</v>
      </c>
      <c r="C3760" s="1" t="s">
        <v>12018</v>
      </c>
      <c r="D3760" s="1" t="s">
        <v>11984</v>
      </c>
      <c r="F3760" s="1" t="s">
        <v>12019</v>
      </c>
      <c r="G3760" s="1" t="s">
        <v>12020</v>
      </c>
    </row>
    <row r="3761" spans="1:7" x14ac:dyDescent="0.3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 x14ac:dyDescent="0.3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G3762" s="1" t="s">
        <v>12027</v>
      </c>
    </row>
    <row r="3763" spans="1:7" x14ac:dyDescent="0.3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 x14ac:dyDescent="0.3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 x14ac:dyDescent="0.3">
      <c r="A3765" s="1" t="s">
        <v>83</v>
      </c>
      <c r="B3765" s="1" t="s">
        <v>12036</v>
      </c>
      <c r="C3765" s="1" t="s">
        <v>12037</v>
      </c>
      <c r="D3765" s="1" t="s">
        <v>11984</v>
      </c>
      <c r="F3765" s="1" t="s">
        <v>12038</v>
      </c>
      <c r="G3765" s="1" t="s">
        <v>12039</v>
      </c>
    </row>
    <row r="3766" spans="1:7" x14ac:dyDescent="0.3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 x14ac:dyDescent="0.3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G3767" s="1" t="s">
        <v>12045</v>
      </c>
    </row>
    <row r="3768" spans="1:7" x14ac:dyDescent="0.3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G3768" s="1" t="s">
        <v>12045</v>
      </c>
    </row>
    <row r="3769" spans="1:7" x14ac:dyDescent="0.3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G3769" s="1" t="s">
        <v>12050</v>
      </c>
    </row>
    <row r="3770" spans="1:7" x14ac:dyDescent="0.3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G3770" s="1" t="s">
        <v>12054</v>
      </c>
    </row>
    <row r="3771" spans="1:7" x14ac:dyDescent="0.3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G3771" s="1" t="s">
        <v>12057</v>
      </c>
    </row>
    <row r="3772" spans="1:7" x14ac:dyDescent="0.3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G3772" s="1" t="s">
        <v>12060</v>
      </c>
    </row>
    <row r="3773" spans="1:7" x14ac:dyDescent="0.3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 x14ac:dyDescent="0.3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G3774" s="1" t="s">
        <v>12067</v>
      </c>
    </row>
    <row r="3775" spans="1:7" x14ac:dyDescent="0.3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G3775" s="1" t="s">
        <v>12070</v>
      </c>
    </row>
    <row r="3776" spans="1:7" x14ac:dyDescent="0.3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G3776" s="1" t="s">
        <v>12073</v>
      </c>
    </row>
    <row r="3777" spans="1:7" x14ac:dyDescent="0.3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G3777" s="1" t="s">
        <v>12076</v>
      </c>
    </row>
    <row r="3778" spans="1:7" x14ac:dyDescent="0.3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G3778" s="1" t="s">
        <v>12079</v>
      </c>
    </row>
    <row r="3779" spans="1:7" x14ac:dyDescent="0.3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G3779" s="1" t="s">
        <v>12083</v>
      </c>
    </row>
    <row r="3780" spans="1:7" x14ac:dyDescent="0.3">
      <c r="A3780" s="1" t="s">
        <v>30</v>
      </c>
      <c r="B3780" s="1" t="s">
        <v>12084</v>
      </c>
      <c r="C3780" s="1" t="s">
        <v>12085</v>
      </c>
      <c r="D3780" s="1" t="s">
        <v>12053</v>
      </c>
      <c r="G3780" s="1" t="s">
        <v>12086</v>
      </c>
    </row>
    <row r="3781" spans="1:7" x14ac:dyDescent="0.3">
      <c r="A3781" s="1" t="s">
        <v>30</v>
      </c>
      <c r="B3781" s="1" t="s">
        <v>12087</v>
      </c>
      <c r="D3781" s="1" t="s">
        <v>12053</v>
      </c>
      <c r="E3781" s="1" t="s">
        <v>12088</v>
      </c>
      <c r="G3781" s="1" t="s">
        <v>12089</v>
      </c>
    </row>
    <row r="3782" spans="1:7" x14ac:dyDescent="0.3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G3782" s="1" t="s">
        <v>12092</v>
      </c>
    </row>
    <row r="3783" spans="1:7" x14ac:dyDescent="0.3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G3783" s="1" t="s">
        <v>12095</v>
      </c>
    </row>
    <row r="3784" spans="1:7" x14ac:dyDescent="0.3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 x14ac:dyDescent="0.3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G3785" s="1" t="s">
        <v>12102</v>
      </c>
    </row>
    <row r="3786" spans="1:7" x14ac:dyDescent="0.3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 x14ac:dyDescent="0.3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 x14ac:dyDescent="0.3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G3788" s="1" t="s">
        <v>12111</v>
      </c>
    </row>
    <row r="3789" spans="1:7" x14ac:dyDescent="0.3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 x14ac:dyDescent="0.3">
      <c r="A3790" s="1" t="s">
        <v>36</v>
      </c>
      <c r="B3790" s="1" t="s">
        <v>12116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 x14ac:dyDescent="0.3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 x14ac:dyDescent="0.3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G3792" s="1" t="s">
        <v>12121</v>
      </c>
    </row>
    <row r="3793" spans="1:7" x14ac:dyDescent="0.3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 x14ac:dyDescent="0.3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 x14ac:dyDescent="0.3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 x14ac:dyDescent="0.3">
      <c r="A3796" s="1" t="s">
        <v>30</v>
      </c>
      <c r="B3796" s="1" t="s">
        <v>12135</v>
      </c>
      <c r="C3796" s="1" t="s">
        <v>12136</v>
      </c>
      <c r="D3796" s="1" t="s">
        <v>12053</v>
      </c>
      <c r="G3796" s="1" t="s">
        <v>12137</v>
      </c>
    </row>
    <row r="3797" spans="1:7" x14ac:dyDescent="0.3">
      <c r="A3797" s="1" t="s">
        <v>30</v>
      </c>
      <c r="B3797" s="1" t="s">
        <v>12138</v>
      </c>
      <c r="C3797" s="1" t="s">
        <v>12139</v>
      </c>
      <c r="D3797" s="1" t="s">
        <v>12053</v>
      </c>
      <c r="G3797" s="1" t="s">
        <v>12140</v>
      </c>
    </row>
    <row r="3798" spans="1:7" x14ac:dyDescent="0.3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 x14ac:dyDescent="0.3">
      <c r="A3799" s="1" t="s">
        <v>30</v>
      </c>
      <c r="B3799" s="1" t="s">
        <v>3417</v>
      </c>
      <c r="C3799" s="1" t="s">
        <v>12145</v>
      </c>
      <c r="D3799" s="1" t="s">
        <v>12053</v>
      </c>
      <c r="F3799" s="1" t="s">
        <v>12146</v>
      </c>
      <c r="G3799" s="1" t="s">
        <v>12147</v>
      </c>
    </row>
    <row r="3800" spans="1:7" x14ac:dyDescent="0.3">
      <c r="A3800" s="1" t="s">
        <v>30</v>
      </c>
      <c r="B3800" s="1" t="s">
        <v>12148</v>
      </c>
      <c r="C3800" s="1" t="s">
        <v>12149</v>
      </c>
      <c r="D3800" s="1" t="s">
        <v>12053</v>
      </c>
      <c r="F3800" s="1" t="s">
        <v>12150</v>
      </c>
      <c r="G3800" s="1" t="s">
        <v>12151</v>
      </c>
    </row>
    <row r="3801" spans="1:7" x14ac:dyDescent="0.3">
      <c r="A3801" s="1" t="s">
        <v>30</v>
      </c>
      <c r="B3801" s="1" t="s">
        <v>12152</v>
      </c>
      <c r="C3801" s="1" t="s">
        <v>12153</v>
      </c>
      <c r="D3801" s="1" t="s">
        <v>12053</v>
      </c>
      <c r="G3801" s="1" t="s">
        <v>12130</v>
      </c>
    </row>
    <row r="3802" spans="1:7" x14ac:dyDescent="0.3">
      <c r="A3802" s="1" t="s">
        <v>30</v>
      </c>
      <c r="B3802" s="1" t="s">
        <v>12154</v>
      </c>
      <c r="C3802" s="1" t="s">
        <v>12155</v>
      </c>
      <c r="D3802" s="1" t="s">
        <v>12053</v>
      </c>
      <c r="G3802" s="1" t="s">
        <v>12156</v>
      </c>
    </row>
    <row r="3803" spans="1:7" x14ac:dyDescent="0.3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 x14ac:dyDescent="0.3">
      <c r="A3804" s="1" t="s">
        <v>30</v>
      </c>
      <c r="B3804" s="1" t="s">
        <v>12161</v>
      </c>
      <c r="C3804" s="1" t="s">
        <v>12162</v>
      </c>
      <c r="D3804" s="1" t="s">
        <v>12053</v>
      </c>
      <c r="F3804" s="1" t="s">
        <v>12163</v>
      </c>
      <c r="G3804" s="1" t="s">
        <v>12164</v>
      </c>
    </row>
    <row r="3805" spans="1:7" x14ac:dyDescent="0.3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 x14ac:dyDescent="0.3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 x14ac:dyDescent="0.3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G3807" s="1" t="s">
        <v>12173</v>
      </c>
    </row>
    <row r="3808" spans="1:7" x14ac:dyDescent="0.3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 x14ac:dyDescent="0.3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</row>
    <row r="3810" spans="1:7" x14ac:dyDescent="0.3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 x14ac:dyDescent="0.3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 x14ac:dyDescent="0.3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 x14ac:dyDescent="0.3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</row>
    <row r="3814" spans="1:7" x14ac:dyDescent="0.3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 x14ac:dyDescent="0.3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 x14ac:dyDescent="0.3">
      <c r="A3816" s="1" t="s">
        <v>36</v>
      </c>
      <c r="B3816" s="1" t="s">
        <v>12202</v>
      </c>
      <c r="C3816" s="1" t="s">
        <v>12203</v>
      </c>
      <c r="D3816" s="1" t="s">
        <v>12053</v>
      </c>
    </row>
    <row r="3817" spans="1:7" x14ac:dyDescent="0.3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G3817" s="1" t="s">
        <v>8364</v>
      </c>
    </row>
    <row r="3818" spans="1:7" x14ac:dyDescent="0.3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 x14ac:dyDescent="0.3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 x14ac:dyDescent="0.3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G3820" s="1" t="s">
        <v>12218</v>
      </c>
    </row>
    <row r="3821" spans="1:7" x14ac:dyDescent="0.3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 x14ac:dyDescent="0.3">
      <c r="A3822" s="1" t="s">
        <v>36</v>
      </c>
      <c r="B3822" s="1" t="s">
        <v>12223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 x14ac:dyDescent="0.3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 x14ac:dyDescent="0.3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G3824" s="1" t="s">
        <v>12234</v>
      </c>
    </row>
    <row r="3825" spans="1:7" x14ac:dyDescent="0.3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 x14ac:dyDescent="0.3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</row>
    <row r="3827" spans="1:7" x14ac:dyDescent="0.3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 x14ac:dyDescent="0.3">
      <c r="A3828" s="1" t="s">
        <v>30</v>
      </c>
      <c r="B3828" s="1" t="s">
        <v>12245</v>
      </c>
      <c r="C3828" s="1" t="s">
        <v>12246</v>
      </c>
      <c r="D3828" s="1" t="s">
        <v>12212</v>
      </c>
      <c r="G3828" s="1" t="s">
        <v>12247</v>
      </c>
    </row>
    <row r="3829" spans="1:7" x14ac:dyDescent="0.3">
      <c r="A3829" s="1" t="s">
        <v>36</v>
      </c>
      <c r="B3829" s="1" t="s">
        <v>12248</v>
      </c>
      <c r="C3829" s="1" t="s">
        <v>12249</v>
      </c>
      <c r="D3829" s="1" t="s">
        <v>12212</v>
      </c>
      <c r="G3829" s="1" t="s">
        <v>12250</v>
      </c>
    </row>
    <row r="3830" spans="1:7" x14ac:dyDescent="0.3">
      <c r="A3830" s="1" t="s">
        <v>30</v>
      </c>
      <c r="B3830" s="1" t="s">
        <v>12251</v>
      </c>
      <c r="C3830" s="1" t="s">
        <v>12252</v>
      </c>
      <c r="D3830" s="1" t="s">
        <v>12212</v>
      </c>
      <c r="F3830" s="1" t="s">
        <v>12253</v>
      </c>
      <c r="G3830" s="1" t="s">
        <v>12254</v>
      </c>
    </row>
    <row r="3831" spans="1:7" x14ac:dyDescent="0.3">
      <c r="A3831" s="1" t="s">
        <v>36</v>
      </c>
      <c r="B3831" s="1" t="s">
        <v>12255</v>
      </c>
      <c r="C3831" s="1" t="s">
        <v>12256</v>
      </c>
      <c r="D3831" s="1" t="s">
        <v>12212</v>
      </c>
      <c r="G3831" s="1" t="s">
        <v>12257</v>
      </c>
    </row>
    <row r="3832" spans="1:7" x14ac:dyDescent="0.3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</row>
    <row r="3833" spans="1:7" x14ac:dyDescent="0.3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 x14ac:dyDescent="0.3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</row>
    <row r="3835" spans="1:7" x14ac:dyDescent="0.3">
      <c r="A3835" s="1" t="s">
        <v>83</v>
      </c>
      <c r="B3835" s="1" t="s">
        <v>12267</v>
      </c>
      <c r="C3835" s="1" t="s">
        <v>12268</v>
      </c>
      <c r="D3835" s="1" t="s">
        <v>12212</v>
      </c>
      <c r="G3835" s="1" t="s">
        <v>12269</v>
      </c>
    </row>
    <row r="3836" spans="1:7" x14ac:dyDescent="0.3">
      <c r="A3836" s="1" t="s">
        <v>191</v>
      </c>
      <c r="B3836" s="1" t="s">
        <v>12270</v>
      </c>
      <c r="C3836" s="1" t="s">
        <v>12271</v>
      </c>
      <c r="D3836" s="1" t="s">
        <v>12212</v>
      </c>
      <c r="G3836" s="1" t="s">
        <v>12272</v>
      </c>
    </row>
    <row r="3837" spans="1:7" x14ac:dyDescent="0.3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 x14ac:dyDescent="0.3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 x14ac:dyDescent="0.3">
      <c r="A3839" s="1" t="s">
        <v>36</v>
      </c>
      <c r="B3839" s="1" t="s">
        <v>12281</v>
      </c>
      <c r="C3839" s="1" t="s">
        <v>12282</v>
      </c>
      <c r="D3839" s="1" t="s">
        <v>12212</v>
      </c>
      <c r="F3839" s="1" t="s">
        <v>12283</v>
      </c>
      <c r="G3839" s="1" t="s">
        <v>12284</v>
      </c>
    </row>
    <row r="3840" spans="1:7" x14ac:dyDescent="0.3">
      <c r="A3840" s="1" t="s">
        <v>30</v>
      </c>
      <c r="B3840" s="1" t="s">
        <v>12285</v>
      </c>
      <c r="C3840" s="1" t="s">
        <v>12286</v>
      </c>
      <c r="D3840" s="1" t="s">
        <v>12212</v>
      </c>
    </row>
    <row r="3841" spans="1:7" x14ac:dyDescent="0.3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 x14ac:dyDescent="0.3">
      <c r="A3842" s="1" t="s">
        <v>30</v>
      </c>
      <c r="B3842" s="1" t="s">
        <v>12292</v>
      </c>
      <c r="C3842" s="1" t="s">
        <v>12293</v>
      </c>
      <c r="D3842" s="1" t="s">
        <v>12294</v>
      </c>
      <c r="G3842" s="1" t="s">
        <v>12295</v>
      </c>
    </row>
    <row r="3843" spans="1:7" x14ac:dyDescent="0.3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G3843" s="1" t="s">
        <v>12298</v>
      </c>
    </row>
    <row r="3844" spans="1:7" x14ac:dyDescent="0.3">
      <c r="A3844" s="1" t="s">
        <v>13</v>
      </c>
      <c r="B3844" s="1" t="s">
        <v>12299</v>
      </c>
      <c r="D3844" s="1" t="s">
        <v>12294</v>
      </c>
    </row>
    <row r="3845" spans="1:7" x14ac:dyDescent="0.3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 x14ac:dyDescent="0.3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G3846" s="1" t="s">
        <v>12306</v>
      </c>
    </row>
    <row r="3847" spans="1:7" x14ac:dyDescent="0.3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G3847" s="1" t="s">
        <v>12309</v>
      </c>
    </row>
    <row r="3848" spans="1:7" x14ac:dyDescent="0.3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G3848" s="1" t="s">
        <v>12312</v>
      </c>
    </row>
    <row r="3849" spans="1:7" x14ac:dyDescent="0.3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G3849" s="1" t="s">
        <v>12315</v>
      </c>
    </row>
    <row r="3850" spans="1:7" x14ac:dyDescent="0.3">
      <c r="A3850" s="1" t="s">
        <v>13</v>
      </c>
      <c r="B3850" s="1" t="s">
        <v>12316</v>
      </c>
      <c r="C3850" s="1" t="s">
        <v>12317</v>
      </c>
      <c r="D3850" s="1" t="s">
        <v>12294</v>
      </c>
      <c r="G3850" s="1" t="s">
        <v>12318</v>
      </c>
    </row>
    <row r="3851" spans="1:7" x14ac:dyDescent="0.3">
      <c r="A3851" s="1" t="s">
        <v>36</v>
      </c>
      <c r="B3851" s="1" t="s">
        <v>12319</v>
      </c>
      <c r="C3851" s="1" t="s">
        <v>12320</v>
      </c>
      <c r="D3851" s="1" t="s">
        <v>12294</v>
      </c>
      <c r="G3851" s="1" t="s">
        <v>12321</v>
      </c>
    </row>
    <row r="3852" spans="1:7" x14ac:dyDescent="0.3">
      <c r="A3852" s="1" t="s">
        <v>30</v>
      </c>
      <c r="B3852" s="1" t="s">
        <v>12322</v>
      </c>
      <c r="C3852" s="1" t="s">
        <v>12323</v>
      </c>
      <c r="D3852" s="1" t="s">
        <v>12294</v>
      </c>
      <c r="F3852" s="1" t="s">
        <v>12324</v>
      </c>
      <c r="G3852" s="1" t="s">
        <v>12325</v>
      </c>
    </row>
    <row r="3853" spans="1:7" x14ac:dyDescent="0.3">
      <c r="A3853" s="1" t="s">
        <v>13</v>
      </c>
      <c r="B3853" s="1" t="s">
        <v>12326</v>
      </c>
      <c r="C3853" s="1" t="s">
        <v>12327</v>
      </c>
      <c r="D3853" s="1" t="s">
        <v>12294</v>
      </c>
      <c r="G3853" s="1" t="s">
        <v>12328</v>
      </c>
    </row>
    <row r="3854" spans="1:7" x14ac:dyDescent="0.3">
      <c r="A3854" s="1" t="s">
        <v>13</v>
      </c>
      <c r="B3854" s="1" t="s">
        <v>12329</v>
      </c>
      <c r="C3854" s="1" t="s">
        <v>12330</v>
      </c>
      <c r="D3854" s="1" t="s">
        <v>12294</v>
      </c>
      <c r="G3854" s="1" t="s">
        <v>12331</v>
      </c>
    </row>
    <row r="3855" spans="1:7" x14ac:dyDescent="0.3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 x14ac:dyDescent="0.3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 x14ac:dyDescent="0.3">
      <c r="A3857" s="1" t="s">
        <v>7</v>
      </c>
      <c r="B3857" s="1" t="s">
        <v>12340</v>
      </c>
      <c r="C3857" s="1" t="s">
        <v>12341</v>
      </c>
      <c r="D3857" s="1" t="s">
        <v>12294</v>
      </c>
      <c r="F3857" s="1" t="s">
        <v>12342</v>
      </c>
      <c r="G3857" s="1" t="s">
        <v>12343</v>
      </c>
    </row>
    <row r="3858" spans="1:7" x14ac:dyDescent="0.3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 x14ac:dyDescent="0.3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G3859" s="1" t="s">
        <v>12351</v>
      </c>
    </row>
    <row r="3860" spans="1:7" x14ac:dyDescent="0.3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 x14ac:dyDescent="0.3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 x14ac:dyDescent="0.3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 x14ac:dyDescent="0.3">
      <c r="A3863" s="1" t="s">
        <v>7</v>
      </c>
      <c r="B3863" s="1" t="s">
        <v>12366</v>
      </c>
      <c r="C3863" s="1" t="s">
        <v>12367</v>
      </c>
      <c r="D3863" s="1" t="s">
        <v>12346</v>
      </c>
    </row>
    <row r="3864" spans="1:7" x14ac:dyDescent="0.3">
      <c r="A3864" s="1" t="s">
        <v>30</v>
      </c>
      <c r="B3864" s="1" t="s">
        <v>12368</v>
      </c>
      <c r="C3864" s="1" t="s">
        <v>12369</v>
      </c>
      <c r="D3864" s="1" t="s">
        <v>12346</v>
      </c>
      <c r="G3864" s="1" t="s">
        <v>12370</v>
      </c>
    </row>
    <row r="3865" spans="1:7" x14ac:dyDescent="0.3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G3865" s="1" t="s">
        <v>12374</v>
      </c>
    </row>
    <row r="3866" spans="1:7" x14ac:dyDescent="0.3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 x14ac:dyDescent="0.3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 x14ac:dyDescent="0.3">
      <c r="A3868" s="1" t="s">
        <v>89</v>
      </c>
      <c r="B3868" s="1" t="s">
        <v>138</v>
      </c>
      <c r="D3868" s="1" t="s">
        <v>12381</v>
      </c>
      <c r="E3868" s="1" t="s">
        <v>12382</v>
      </c>
      <c r="G3868" s="1" t="s">
        <v>12383</v>
      </c>
    </row>
    <row r="3869" spans="1:7" x14ac:dyDescent="0.3">
      <c r="A3869" s="1" t="s">
        <v>30</v>
      </c>
      <c r="B3869" s="1" t="s">
        <v>12384</v>
      </c>
      <c r="C3869" s="1" t="s">
        <v>12385</v>
      </c>
      <c r="D3869" s="1" t="s">
        <v>12386</v>
      </c>
      <c r="F3869" s="1" t="s">
        <v>12387</v>
      </c>
      <c r="G3869" s="1" t="s">
        <v>12388</v>
      </c>
    </row>
    <row r="3870" spans="1:7" x14ac:dyDescent="0.3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G3870" s="1" t="s">
        <v>12392</v>
      </c>
    </row>
    <row r="3871" spans="1:7" x14ac:dyDescent="0.3">
      <c r="A3871" s="1" t="s">
        <v>89</v>
      </c>
      <c r="B3871" s="1" t="s">
        <v>138</v>
      </c>
      <c r="D3871" s="1" t="s">
        <v>12386</v>
      </c>
    </row>
    <row r="3872" spans="1:7" x14ac:dyDescent="0.3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G3872" s="1" t="s">
        <v>12395</v>
      </c>
    </row>
    <row r="3873" spans="1:7" x14ac:dyDescent="0.3">
      <c r="A3873" s="1" t="s">
        <v>7</v>
      </c>
      <c r="B3873" s="1" t="s">
        <v>12396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 x14ac:dyDescent="0.3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 x14ac:dyDescent="0.3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 x14ac:dyDescent="0.3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</row>
    <row r="3877" spans="1:7" x14ac:dyDescent="0.3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G3877" s="1" t="s">
        <v>12413</v>
      </c>
    </row>
    <row r="3878" spans="1:7" x14ac:dyDescent="0.3">
      <c r="A3878" s="1" t="s">
        <v>30</v>
      </c>
      <c r="B3878" s="1" t="s">
        <v>5387</v>
      </c>
      <c r="C3878" s="1" t="s">
        <v>12414</v>
      </c>
      <c r="D3878" s="1" t="s">
        <v>12386</v>
      </c>
      <c r="F3878" s="1" t="s">
        <v>12415</v>
      </c>
      <c r="G3878" s="1" t="s">
        <v>12416</v>
      </c>
    </row>
    <row r="3879" spans="1:7" x14ac:dyDescent="0.3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 x14ac:dyDescent="0.3">
      <c r="A3880" s="1" t="s">
        <v>83</v>
      </c>
      <c r="B3880" s="1" t="s">
        <v>12421</v>
      </c>
      <c r="C3880" s="1" t="s">
        <v>12422</v>
      </c>
      <c r="D3880" s="1" t="s">
        <v>12386</v>
      </c>
      <c r="G3880" s="1" t="s">
        <v>12423</v>
      </c>
    </row>
    <row r="3881" spans="1:7" x14ac:dyDescent="0.3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 x14ac:dyDescent="0.3">
      <c r="A3882" s="1" t="s">
        <v>13</v>
      </c>
      <c r="B3882" s="1" t="s">
        <v>12429</v>
      </c>
      <c r="C3882" s="1" t="s">
        <v>12430</v>
      </c>
      <c r="D3882" s="1" t="s">
        <v>12431</v>
      </c>
      <c r="G3882" s="1" t="s">
        <v>12432</v>
      </c>
    </row>
    <row r="3883" spans="1:7" x14ac:dyDescent="0.3">
      <c r="A3883" s="1" t="s">
        <v>30</v>
      </c>
      <c r="B3883" s="1" t="s">
        <v>12433</v>
      </c>
      <c r="C3883" s="1" t="s">
        <v>12434</v>
      </c>
      <c r="D3883" s="1" t="s">
        <v>12431</v>
      </c>
      <c r="G3883" s="1" t="s">
        <v>12435</v>
      </c>
    </row>
    <row r="3884" spans="1:7" x14ac:dyDescent="0.3">
      <c r="A3884" s="1" t="s">
        <v>7</v>
      </c>
      <c r="B3884" s="1" t="s">
        <v>12436</v>
      </c>
      <c r="C3884" s="1" t="s">
        <v>12437</v>
      </c>
      <c r="D3884" s="1" t="s">
        <v>12431</v>
      </c>
      <c r="F3884" s="1" t="s">
        <v>12438</v>
      </c>
      <c r="G3884" s="1" t="s">
        <v>12439</v>
      </c>
    </row>
    <row r="3885" spans="1:7" x14ac:dyDescent="0.3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G3885" s="1" t="s">
        <v>12442</v>
      </c>
    </row>
    <row r="3886" spans="1:7" x14ac:dyDescent="0.3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G3886" s="1" t="s">
        <v>12445</v>
      </c>
    </row>
    <row r="3887" spans="1:7" x14ac:dyDescent="0.3">
      <c r="A3887" s="1" t="s">
        <v>36</v>
      </c>
      <c r="B3887" s="1" t="s">
        <v>12446</v>
      </c>
      <c r="C3887" s="1" t="s">
        <v>12447</v>
      </c>
      <c r="D3887" s="1" t="s">
        <v>12431</v>
      </c>
      <c r="F3887" s="1" t="s">
        <v>12448</v>
      </c>
      <c r="G3887" s="1" t="s">
        <v>12449</v>
      </c>
    </row>
    <row r="3888" spans="1:7" x14ac:dyDescent="0.3">
      <c r="A3888" s="1" t="s">
        <v>36</v>
      </c>
      <c r="B3888" s="1" t="s">
        <v>12450</v>
      </c>
      <c r="C3888" s="1" t="s">
        <v>12451</v>
      </c>
      <c r="D3888" s="1" t="s">
        <v>12431</v>
      </c>
      <c r="F3888" s="1" t="s">
        <v>12452</v>
      </c>
      <c r="G3888" s="1" t="s">
        <v>12453</v>
      </c>
    </row>
    <row r="3889" spans="1:7" x14ac:dyDescent="0.3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G3889" s="1" t="s">
        <v>12456</v>
      </c>
    </row>
    <row r="3890" spans="1:7" x14ac:dyDescent="0.3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 x14ac:dyDescent="0.3">
      <c r="A3891" s="1" t="s">
        <v>30</v>
      </c>
      <c r="B3891" s="1" t="s">
        <v>12461</v>
      </c>
      <c r="C3891" s="1" t="s">
        <v>12462</v>
      </c>
      <c r="D3891" s="1" t="s">
        <v>12463</v>
      </c>
      <c r="F3891" s="1" t="s">
        <v>12464</v>
      </c>
      <c r="G3891" s="1" t="s">
        <v>12465</v>
      </c>
    </row>
    <row r="3892" spans="1:7" x14ac:dyDescent="0.3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G3892" s="1" t="s">
        <v>12469</v>
      </c>
    </row>
    <row r="3893" spans="1:7" x14ac:dyDescent="0.3">
      <c r="A3893" s="1" t="s">
        <v>30</v>
      </c>
      <c r="B3893" s="1" t="s">
        <v>12470</v>
      </c>
      <c r="C3893" s="1" t="s">
        <v>12471</v>
      </c>
      <c r="D3893" s="1" t="s">
        <v>12463</v>
      </c>
    </row>
    <row r="3894" spans="1:7" x14ac:dyDescent="0.3">
      <c r="A3894" s="1" t="s">
        <v>30</v>
      </c>
      <c r="B3894" s="1" t="s">
        <v>12472</v>
      </c>
      <c r="C3894" s="1" t="s">
        <v>12473</v>
      </c>
      <c r="D3894" s="1" t="s">
        <v>12463</v>
      </c>
      <c r="G3894" s="1" t="s">
        <v>12474</v>
      </c>
    </row>
    <row r="3895" spans="1:7" x14ac:dyDescent="0.3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G3895" s="1" t="s">
        <v>12478</v>
      </c>
    </row>
    <row r="3896" spans="1:7" x14ac:dyDescent="0.3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 x14ac:dyDescent="0.3">
      <c r="A3897" s="1" t="s">
        <v>89</v>
      </c>
      <c r="B3897" s="1" t="s">
        <v>12483</v>
      </c>
      <c r="D3897" s="1" t="s">
        <v>12463</v>
      </c>
      <c r="E3897" s="1" t="s">
        <v>12484</v>
      </c>
    </row>
    <row r="3898" spans="1:7" x14ac:dyDescent="0.3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 x14ac:dyDescent="0.3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 x14ac:dyDescent="0.3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 x14ac:dyDescent="0.3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G3901" s="1" t="s">
        <v>12499</v>
      </c>
    </row>
    <row r="3902" spans="1:7" x14ac:dyDescent="0.3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G3902" s="1" t="s">
        <v>12502</v>
      </c>
    </row>
    <row r="3903" spans="1:7" x14ac:dyDescent="0.3">
      <c r="A3903" s="1" t="s">
        <v>30</v>
      </c>
      <c r="B3903" s="1" t="s">
        <v>12503</v>
      </c>
      <c r="D3903" s="1" t="s">
        <v>12463</v>
      </c>
      <c r="G3903" s="1" t="s">
        <v>12502</v>
      </c>
    </row>
    <row r="3904" spans="1:7" x14ac:dyDescent="0.3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 x14ac:dyDescent="0.3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 x14ac:dyDescent="0.3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 x14ac:dyDescent="0.3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 x14ac:dyDescent="0.3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G3908" s="1" t="s">
        <v>12524</v>
      </c>
    </row>
    <row r="3909" spans="1:7" x14ac:dyDescent="0.3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 x14ac:dyDescent="0.3">
      <c r="A3910" s="1" t="s">
        <v>36</v>
      </c>
      <c r="B3910" s="1" t="s">
        <v>12529</v>
      </c>
      <c r="C3910" s="1" t="s">
        <v>12530</v>
      </c>
      <c r="D3910" s="1" t="s">
        <v>12523</v>
      </c>
    </row>
    <row r="3911" spans="1:7" x14ac:dyDescent="0.3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 x14ac:dyDescent="0.3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 x14ac:dyDescent="0.3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 x14ac:dyDescent="0.3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 x14ac:dyDescent="0.3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</row>
    <row r="3916" spans="1:7" x14ac:dyDescent="0.3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 x14ac:dyDescent="0.3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 x14ac:dyDescent="0.3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 x14ac:dyDescent="0.3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 x14ac:dyDescent="0.3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 x14ac:dyDescent="0.3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 x14ac:dyDescent="0.3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 x14ac:dyDescent="0.3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 x14ac:dyDescent="0.3">
      <c r="A3924" s="1" t="s">
        <v>13</v>
      </c>
      <c r="B3924" s="1" t="s">
        <v>12577</v>
      </c>
      <c r="C3924" s="1" t="s">
        <v>12578</v>
      </c>
      <c r="D3924" s="1" t="s">
        <v>12550</v>
      </c>
      <c r="F3924" s="1" t="s">
        <v>11410</v>
      </c>
      <c r="G3924" s="1" t="s">
        <v>11411</v>
      </c>
    </row>
    <row r="3925" spans="1:7" x14ac:dyDescent="0.3">
      <c r="A3925" s="1" t="s">
        <v>13</v>
      </c>
      <c r="B3925" s="1" t="s">
        <v>12579</v>
      </c>
      <c r="C3925" s="1" t="s">
        <v>12580</v>
      </c>
      <c r="D3925" s="1" t="s">
        <v>12550</v>
      </c>
      <c r="G3925" s="1" t="s">
        <v>12581</v>
      </c>
    </row>
    <row r="3926" spans="1:7" x14ac:dyDescent="0.3">
      <c r="A3926" s="1" t="s">
        <v>30</v>
      </c>
      <c r="B3926" s="1" t="s">
        <v>12582</v>
      </c>
      <c r="C3926" s="1" t="s">
        <v>12583</v>
      </c>
      <c r="D3926" s="1" t="s">
        <v>12550</v>
      </c>
      <c r="F3926" s="1" t="s">
        <v>12584</v>
      </c>
      <c r="G3926" s="1" t="s">
        <v>12585</v>
      </c>
    </row>
    <row r="3927" spans="1:7" x14ac:dyDescent="0.3">
      <c r="A3927" s="1" t="s">
        <v>13</v>
      </c>
      <c r="B3927" s="1" t="s">
        <v>12586</v>
      </c>
      <c r="D3927" s="1" t="s">
        <v>12550</v>
      </c>
      <c r="G3927" s="1" t="s">
        <v>12587</v>
      </c>
    </row>
    <row r="3928" spans="1:7" x14ac:dyDescent="0.3">
      <c r="A3928" s="1" t="s">
        <v>89</v>
      </c>
      <c r="B3928" s="1" t="s">
        <v>138</v>
      </c>
      <c r="D3928" s="1" t="s">
        <v>12550</v>
      </c>
      <c r="E3928" s="1" t="s">
        <v>12588</v>
      </c>
    </row>
    <row r="3929" spans="1:7" x14ac:dyDescent="0.3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 x14ac:dyDescent="0.3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 x14ac:dyDescent="0.3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G3931" s="1" t="s">
        <v>12600</v>
      </c>
    </row>
    <row r="3932" spans="1:7" x14ac:dyDescent="0.3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 x14ac:dyDescent="0.3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 x14ac:dyDescent="0.3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G3934" s="1" t="s">
        <v>12610</v>
      </c>
    </row>
    <row r="3935" spans="1:7" x14ac:dyDescent="0.3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G3935" s="1" t="s">
        <v>12613</v>
      </c>
    </row>
    <row r="3936" spans="1:7" x14ac:dyDescent="0.3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 x14ac:dyDescent="0.3">
      <c r="A3937" s="1" t="s">
        <v>30</v>
      </c>
      <c r="B3937" s="1" t="s">
        <v>12617</v>
      </c>
      <c r="D3937" s="1" t="s">
        <v>12616</v>
      </c>
      <c r="E3937" s="1" t="s">
        <v>12618</v>
      </c>
    </row>
    <row r="3938" spans="1:7" x14ac:dyDescent="0.3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G3938" s="1" t="s">
        <v>12621</v>
      </c>
    </row>
    <row r="3939" spans="1:7" x14ac:dyDescent="0.3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 x14ac:dyDescent="0.3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</row>
    <row r="3941" spans="1:7" x14ac:dyDescent="0.3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 x14ac:dyDescent="0.3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</row>
    <row r="3943" spans="1:7" x14ac:dyDescent="0.3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</row>
    <row r="3944" spans="1:7" x14ac:dyDescent="0.3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</row>
    <row r="3945" spans="1:7" x14ac:dyDescent="0.3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 x14ac:dyDescent="0.3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</row>
    <row r="3947" spans="1:7" x14ac:dyDescent="0.3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 x14ac:dyDescent="0.3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G3948" s="1" t="s">
        <v>12651</v>
      </c>
    </row>
    <row r="3949" spans="1:7" x14ac:dyDescent="0.3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</row>
    <row r="3950" spans="1:7" x14ac:dyDescent="0.3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G3950" s="1" t="s">
        <v>12656</v>
      </c>
    </row>
    <row r="3951" spans="1:7" x14ac:dyDescent="0.3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G3951" s="1" t="s">
        <v>12659</v>
      </c>
    </row>
    <row r="3952" spans="1:7" x14ac:dyDescent="0.3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G3952" s="1" t="s">
        <v>12662</v>
      </c>
    </row>
    <row r="3953" spans="1:7" x14ac:dyDescent="0.3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</row>
    <row r="3954" spans="1:7" x14ac:dyDescent="0.3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 x14ac:dyDescent="0.3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 x14ac:dyDescent="0.3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 x14ac:dyDescent="0.3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G3957" s="1" t="s">
        <v>12681</v>
      </c>
    </row>
    <row r="3958" spans="1:7" x14ac:dyDescent="0.3">
      <c r="A3958" s="1" t="s">
        <v>36</v>
      </c>
      <c r="B3958" s="1" t="s">
        <v>7596</v>
      </c>
      <c r="C3958" s="1" t="s">
        <v>12682</v>
      </c>
      <c r="D3958" s="1" t="s">
        <v>12679</v>
      </c>
      <c r="F3958" s="1" t="s">
        <v>12683</v>
      </c>
      <c r="G3958" s="1" t="s">
        <v>12684</v>
      </c>
    </row>
    <row r="3959" spans="1:7" x14ac:dyDescent="0.3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G3959" s="1" t="s">
        <v>12687</v>
      </c>
    </row>
    <row r="3960" spans="1:7" x14ac:dyDescent="0.3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 x14ac:dyDescent="0.3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 x14ac:dyDescent="0.3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 x14ac:dyDescent="0.3">
      <c r="A3963" s="1" t="s">
        <v>36</v>
      </c>
      <c r="B3963" s="1" t="s">
        <v>12701</v>
      </c>
      <c r="D3963" s="1" t="s">
        <v>12698</v>
      </c>
      <c r="F3963" s="1" t="s">
        <v>12702</v>
      </c>
      <c r="G3963" s="1" t="s">
        <v>12703</v>
      </c>
    </row>
    <row r="3964" spans="1:7" x14ac:dyDescent="0.3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 x14ac:dyDescent="0.3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 x14ac:dyDescent="0.3">
      <c r="A3966" s="1" t="s">
        <v>30</v>
      </c>
      <c r="B3966" s="1" t="s">
        <v>12712</v>
      </c>
      <c r="C3966" s="1" t="s">
        <v>12713</v>
      </c>
      <c r="D3966" s="1" t="s">
        <v>12698</v>
      </c>
      <c r="F3966" s="1" t="s">
        <v>12714</v>
      </c>
      <c r="G3966" s="1" t="s">
        <v>12715</v>
      </c>
    </row>
    <row r="3967" spans="1:7" x14ac:dyDescent="0.3">
      <c r="A3967" s="1" t="s">
        <v>7</v>
      </c>
      <c r="B3967" s="1" t="s">
        <v>12716</v>
      </c>
      <c r="D3967" s="1" t="s">
        <v>12698</v>
      </c>
      <c r="G3967" s="1" t="s">
        <v>12717</v>
      </c>
    </row>
    <row r="3968" spans="1:7" x14ac:dyDescent="0.3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 x14ac:dyDescent="0.3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G3969" s="1" t="s">
        <v>12724</v>
      </c>
    </row>
    <row r="3970" spans="1:7" x14ac:dyDescent="0.3">
      <c r="A3970" s="1" t="s">
        <v>83</v>
      </c>
      <c r="B3970" s="1" t="s">
        <v>12725</v>
      </c>
      <c r="C3970" s="1" t="s">
        <v>12726</v>
      </c>
      <c r="D3970" s="1" t="s">
        <v>12698</v>
      </c>
      <c r="G3970" s="1" t="s">
        <v>12727</v>
      </c>
    </row>
    <row r="3971" spans="1:7" x14ac:dyDescent="0.3">
      <c r="A3971" s="1" t="s">
        <v>36</v>
      </c>
      <c r="B3971" s="1" t="s">
        <v>12728</v>
      </c>
      <c r="D3971" s="1" t="s">
        <v>12698</v>
      </c>
      <c r="F3971" s="1" t="s">
        <v>11832</v>
      </c>
      <c r="G3971" s="1" t="s">
        <v>11833</v>
      </c>
    </row>
    <row r="3972" spans="1:7" x14ac:dyDescent="0.3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 x14ac:dyDescent="0.3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</row>
    <row r="3974" spans="1:7" x14ac:dyDescent="0.3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G3974" s="1" t="s">
        <v>12738</v>
      </c>
    </row>
    <row r="3975" spans="1:7" x14ac:dyDescent="0.3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</row>
    <row r="3976" spans="1:7" x14ac:dyDescent="0.3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 x14ac:dyDescent="0.3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</row>
    <row r="3978" spans="1:7" x14ac:dyDescent="0.3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 x14ac:dyDescent="0.3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 x14ac:dyDescent="0.3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</row>
    <row r="3981" spans="1:7" x14ac:dyDescent="0.3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 x14ac:dyDescent="0.3">
      <c r="A3982" s="1" t="s">
        <v>89</v>
      </c>
      <c r="B3982" s="1" t="s">
        <v>12763</v>
      </c>
      <c r="D3982" s="1" t="s">
        <v>12753</v>
      </c>
      <c r="E3982" s="1" t="s">
        <v>12764</v>
      </c>
    </row>
    <row r="3983" spans="1:7" x14ac:dyDescent="0.3">
      <c r="A3983" s="1" t="s">
        <v>83</v>
      </c>
      <c r="B3983" s="1" t="s">
        <v>12765</v>
      </c>
      <c r="C3983" s="1" t="s">
        <v>12766</v>
      </c>
      <c r="D3983" s="1" t="s">
        <v>12753</v>
      </c>
      <c r="G3983" s="1" t="s">
        <v>12767</v>
      </c>
    </row>
    <row r="3984" spans="1:7" x14ac:dyDescent="0.3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 x14ac:dyDescent="0.3">
      <c r="A3985" s="1" t="s">
        <v>30</v>
      </c>
      <c r="B3985" s="1" t="s">
        <v>12774</v>
      </c>
      <c r="C3985" s="1" t="s">
        <v>12775</v>
      </c>
      <c r="D3985" s="1" t="s">
        <v>12776</v>
      </c>
      <c r="G3985" s="1" t="s">
        <v>12777</v>
      </c>
    </row>
    <row r="3986" spans="1:7" x14ac:dyDescent="0.3">
      <c r="A3986" s="1" t="s">
        <v>30</v>
      </c>
      <c r="B3986" s="1" t="s">
        <v>12778</v>
      </c>
      <c r="C3986" s="1" t="s">
        <v>12779</v>
      </c>
      <c r="D3986" s="1" t="s">
        <v>12776</v>
      </c>
      <c r="G3986" s="1" t="s">
        <v>12780</v>
      </c>
    </row>
    <row r="3987" spans="1:7" x14ac:dyDescent="0.3">
      <c r="A3987" s="1" t="s">
        <v>30</v>
      </c>
      <c r="B3987" s="1" t="s">
        <v>12781</v>
      </c>
      <c r="C3987" s="1" t="s">
        <v>12782</v>
      </c>
      <c r="D3987" s="1" t="s">
        <v>12776</v>
      </c>
      <c r="G3987" s="1" t="s">
        <v>12783</v>
      </c>
    </row>
    <row r="3988" spans="1:7" x14ac:dyDescent="0.3">
      <c r="A3988" s="1" t="s">
        <v>83</v>
      </c>
      <c r="B3988" s="1" t="s">
        <v>12784</v>
      </c>
      <c r="C3988" s="1" t="s">
        <v>12785</v>
      </c>
      <c r="D3988" s="1" t="s">
        <v>12776</v>
      </c>
      <c r="F3988" s="1" t="s">
        <v>12786</v>
      </c>
      <c r="G3988" s="1" t="s">
        <v>12787</v>
      </c>
    </row>
    <row r="3989" spans="1:7" x14ac:dyDescent="0.3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</row>
    <row r="3990" spans="1:7" x14ac:dyDescent="0.3">
      <c r="A3990" s="1" t="s">
        <v>36</v>
      </c>
      <c r="B3990" s="1" t="s">
        <v>12789</v>
      </c>
      <c r="C3990" s="1" t="s">
        <v>12790</v>
      </c>
      <c r="D3990" s="1" t="s">
        <v>12776</v>
      </c>
      <c r="F3990" s="1" t="s">
        <v>12791</v>
      </c>
      <c r="G3990" s="1" t="s">
        <v>12792</v>
      </c>
    </row>
    <row r="3991" spans="1:7" x14ac:dyDescent="0.3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 x14ac:dyDescent="0.3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 x14ac:dyDescent="0.3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G3993" s="1" t="s">
        <v>12803</v>
      </c>
    </row>
    <row r="3994" spans="1:7" x14ac:dyDescent="0.3">
      <c r="A3994" s="1" t="s">
        <v>680</v>
      </c>
      <c r="B3994" s="1" t="s">
        <v>12804</v>
      </c>
      <c r="D3994" s="1" t="s">
        <v>12805</v>
      </c>
    </row>
    <row r="3995" spans="1:7" x14ac:dyDescent="0.3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G3995" s="1" t="s">
        <v>12808</v>
      </c>
    </row>
    <row r="3996" spans="1:7" x14ac:dyDescent="0.3">
      <c r="A3996" s="1" t="s">
        <v>30</v>
      </c>
      <c r="B3996" s="1" t="s">
        <v>12809</v>
      </c>
      <c r="C3996" s="1" t="s">
        <v>12810</v>
      </c>
      <c r="D3996" s="1" t="s">
        <v>12805</v>
      </c>
    </row>
    <row r="3997" spans="1:7" x14ac:dyDescent="0.3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 x14ac:dyDescent="0.3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 x14ac:dyDescent="0.3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 x14ac:dyDescent="0.3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 x14ac:dyDescent="0.3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 x14ac:dyDescent="0.3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 x14ac:dyDescent="0.3">
      <c r="A4003" s="1" t="s">
        <v>680</v>
      </c>
      <c r="B4003" s="1" t="s">
        <v>12833</v>
      </c>
      <c r="D4003" s="1" t="s">
        <v>12805</v>
      </c>
      <c r="E4003" s="1" t="s">
        <v>12805</v>
      </c>
    </row>
    <row r="4004" spans="1:7" x14ac:dyDescent="0.3">
      <c r="A4004" s="1" t="s">
        <v>680</v>
      </c>
      <c r="B4004" s="1" t="s">
        <v>12834</v>
      </c>
      <c r="D4004" s="1" t="s">
        <v>12805</v>
      </c>
    </row>
    <row r="4005" spans="1:7" x14ac:dyDescent="0.3">
      <c r="A4005" s="1" t="s">
        <v>680</v>
      </c>
      <c r="B4005" s="1" t="s">
        <v>1177</v>
      </c>
      <c r="D4005" s="1" t="s">
        <v>12805</v>
      </c>
    </row>
    <row r="4006" spans="1:7" x14ac:dyDescent="0.3">
      <c r="A4006" s="1" t="s">
        <v>680</v>
      </c>
      <c r="B4006" s="1" t="s">
        <v>12835</v>
      </c>
      <c r="D4006" s="1" t="s">
        <v>12805</v>
      </c>
      <c r="E4006" s="1" t="s">
        <v>12836</v>
      </c>
    </row>
    <row r="4007" spans="1:7" x14ac:dyDescent="0.3">
      <c r="A4007" s="1" t="s">
        <v>680</v>
      </c>
      <c r="B4007" s="1" t="s">
        <v>12837</v>
      </c>
      <c r="D4007" s="1" t="s">
        <v>12805</v>
      </c>
      <c r="E4007" s="1" t="s">
        <v>12805</v>
      </c>
    </row>
    <row r="4008" spans="1:7" x14ac:dyDescent="0.3">
      <c r="A4008" s="1" t="s">
        <v>680</v>
      </c>
      <c r="B4008" s="1" t="s">
        <v>12838</v>
      </c>
      <c r="D4008" s="1" t="s">
        <v>12805</v>
      </c>
    </row>
    <row r="4009" spans="1:7" x14ac:dyDescent="0.3">
      <c r="A4009" s="1" t="s">
        <v>680</v>
      </c>
      <c r="B4009" s="1" t="s">
        <v>952</v>
      </c>
      <c r="D4009" s="1" t="s">
        <v>12805</v>
      </c>
      <c r="E4009" s="1" t="s">
        <v>12805</v>
      </c>
    </row>
    <row r="4010" spans="1:7" x14ac:dyDescent="0.3">
      <c r="A4010" s="1" t="s">
        <v>680</v>
      </c>
      <c r="B4010" s="1" t="s">
        <v>12839</v>
      </c>
      <c r="D4010" s="1" t="s">
        <v>12805</v>
      </c>
    </row>
    <row r="4011" spans="1:7" x14ac:dyDescent="0.3">
      <c r="A4011" s="1" t="s">
        <v>680</v>
      </c>
      <c r="B4011" s="1" t="s">
        <v>12840</v>
      </c>
      <c r="D4011" s="1" t="s">
        <v>12805</v>
      </c>
      <c r="E4011" s="1" t="s">
        <v>12805</v>
      </c>
    </row>
    <row r="4012" spans="1:7" x14ac:dyDescent="0.3">
      <c r="A4012" s="1" t="s">
        <v>680</v>
      </c>
      <c r="B4012" s="1" t="s">
        <v>12841</v>
      </c>
      <c r="C4012" s="1" t="s">
        <v>12842</v>
      </c>
      <c r="D4012" s="1" t="s">
        <v>12805</v>
      </c>
    </row>
    <row r="4013" spans="1:7" x14ac:dyDescent="0.3">
      <c r="A4013" s="1" t="s">
        <v>680</v>
      </c>
      <c r="B4013" s="1" t="s">
        <v>12843</v>
      </c>
      <c r="D4013" s="1" t="s">
        <v>12805</v>
      </c>
      <c r="E4013" s="1" t="s">
        <v>1865</v>
      </c>
    </row>
    <row r="4014" spans="1:7" x14ac:dyDescent="0.3">
      <c r="A4014" s="1" t="s">
        <v>680</v>
      </c>
      <c r="B4014" s="1" t="s">
        <v>12844</v>
      </c>
      <c r="C4014" s="1" t="s">
        <v>12845</v>
      </c>
      <c r="D4014" s="1" t="s">
        <v>12805</v>
      </c>
      <c r="F4014" s="1" t="s">
        <v>12846</v>
      </c>
      <c r="G4014" s="1" t="s">
        <v>12847</v>
      </c>
    </row>
    <row r="4015" spans="1:7" x14ac:dyDescent="0.3">
      <c r="A4015" s="1" t="s">
        <v>680</v>
      </c>
      <c r="B4015" s="1" t="s">
        <v>12848</v>
      </c>
      <c r="D4015" s="1" t="s">
        <v>12805</v>
      </c>
      <c r="E4015" s="1" t="s">
        <v>12805</v>
      </c>
    </row>
    <row r="4016" spans="1:7" x14ac:dyDescent="0.3">
      <c r="A4016" s="1" t="s">
        <v>680</v>
      </c>
      <c r="B4016" s="1" t="s">
        <v>12849</v>
      </c>
      <c r="D4016" s="1" t="s">
        <v>12805</v>
      </c>
      <c r="E4016" s="1" t="s">
        <v>12805</v>
      </c>
    </row>
    <row r="4017" spans="1:7" x14ac:dyDescent="0.3">
      <c r="A4017" s="1" t="s">
        <v>680</v>
      </c>
      <c r="B4017" s="1" t="s">
        <v>12850</v>
      </c>
      <c r="D4017" s="1" t="s">
        <v>12805</v>
      </c>
    </row>
    <row r="4018" spans="1:7" x14ac:dyDescent="0.3">
      <c r="A4018" s="1" t="s">
        <v>680</v>
      </c>
      <c r="B4018" s="1" t="s">
        <v>12851</v>
      </c>
      <c r="D4018" s="1" t="s">
        <v>12805</v>
      </c>
    </row>
    <row r="4019" spans="1:7" x14ac:dyDescent="0.3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</row>
    <row r="4020" spans="1:7" x14ac:dyDescent="0.3">
      <c r="A4020" s="1" t="s">
        <v>680</v>
      </c>
      <c r="B4020" s="1" t="s">
        <v>12854</v>
      </c>
      <c r="D4020" s="1" t="s">
        <v>12805</v>
      </c>
    </row>
    <row r="4021" spans="1:7" x14ac:dyDescent="0.3">
      <c r="A4021" s="1" t="s">
        <v>680</v>
      </c>
      <c r="B4021" s="1" t="s">
        <v>12855</v>
      </c>
      <c r="D4021" s="1" t="s">
        <v>12805</v>
      </c>
      <c r="E4021" s="1" t="s">
        <v>12805</v>
      </c>
    </row>
    <row r="4022" spans="1:7" x14ac:dyDescent="0.3">
      <c r="A4022" s="1" t="s">
        <v>680</v>
      </c>
      <c r="B4022" s="1" t="s">
        <v>12856</v>
      </c>
      <c r="C4022" s="1" t="s">
        <v>12857</v>
      </c>
      <c r="D4022" s="1" t="s">
        <v>12805</v>
      </c>
      <c r="F4022" s="1" t="s">
        <v>12858</v>
      </c>
    </row>
    <row r="4023" spans="1:7" x14ac:dyDescent="0.3">
      <c r="A4023" s="1" t="s">
        <v>680</v>
      </c>
      <c r="B4023" s="1" t="s">
        <v>11436</v>
      </c>
      <c r="D4023" s="1" t="s">
        <v>12805</v>
      </c>
    </row>
    <row r="4024" spans="1:7" x14ac:dyDescent="0.3">
      <c r="A4024" s="1" t="s">
        <v>680</v>
      </c>
      <c r="B4024" s="1" t="s">
        <v>12859</v>
      </c>
      <c r="D4024" s="1" t="s">
        <v>12805</v>
      </c>
    </row>
    <row r="4025" spans="1:7" x14ac:dyDescent="0.3">
      <c r="A4025" s="1" t="s">
        <v>680</v>
      </c>
      <c r="B4025" s="1" t="s">
        <v>12860</v>
      </c>
      <c r="D4025" s="1" t="s">
        <v>12805</v>
      </c>
      <c r="E4025" s="1" t="s">
        <v>12805</v>
      </c>
    </row>
    <row r="4026" spans="1:7" x14ac:dyDescent="0.3">
      <c r="A4026" s="1" t="s">
        <v>680</v>
      </c>
      <c r="B4026" s="1" t="s">
        <v>12861</v>
      </c>
      <c r="D4026" s="1" t="s">
        <v>12805</v>
      </c>
      <c r="E4026" s="1" t="s">
        <v>12805</v>
      </c>
    </row>
    <row r="4027" spans="1:7" x14ac:dyDescent="0.3">
      <c r="A4027" s="1" t="s">
        <v>680</v>
      </c>
      <c r="B4027" s="1" t="s">
        <v>12862</v>
      </c>
      <c r="D4027" s="1" t="s">
        <v>12805</v>
      </c>
    </row>
    <row r="4028" spans="1:7" x14ac:dyDescent="0.3">
      <c r="A4028" s="1" t="s">
        <v>680</v>
      </c>
      <c r="B4028" s="1" t="s">
        <v>12863</v>
      </c>
      <c r="D4028" s="1" t="s">
        <v>12805</v>
      </c>
      <c r="F4028" s="1" t="s">
        <v>12864</v>
      </c>
    </row>
    <row r="4029" spans="1:7" x14ac:dyDescent="0.3">
      <c r="A4029" s="1" t="s">
        <v>680</v>
      </c>
      <c r="B4029" s="1" t="s">
        <v>12865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 x14ac:dyDescent="0.3">
      <c r="A4030" s="1" t="s">
        <v>680</v>
      </c>
      <c r="B4030" s="1" t="s">
        <v>12868</v>
      </c>
      <c r="D4030" s="1" t="s">
        <v>12805</v>
      </c>
      <c r="E4030" s="1" t="s">
        <v>12805</v>
      </c>
    </row>
    <row r="4031" spans="1:7" x14ac:dyDescent="0.3">
      <c r="A4031" s="1" t="s">
        <v>680</v>
      </c>
      <c r="B4031" s="1" t="s">
        <v>12869</v>
      </c>
      <c r="D4031" s="1" t="s">
        <v>12805</v>
      </c>
    </row>
    <row r="4032" spans="1:7" x14ac:dyDescent="0.3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 x14ac:dyDescent="0.3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 x14ac:dyDescent="0.3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G4034" s="1" t="s">
        <v>12878</v>
      </c>
    </row>
    <row r="4035" spans="1:7" x14ac:dyDescent="0.3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 x14ac:dyDescent="0.3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</row>
    <row r="4037" spans="1:7" x14ac:dyDescent="0.3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 x14ac:dyDescent="0.3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 x14ac:dyDescent="0.3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G4039" s="1" t="s">
        <v>12891</v>
      </c>
    </row>
    <row r="4040" spans="1:7" x14ac:dyDescent="0.3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 x14ac:dyDescent="0.3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 x14ac:dyDescent="0.3">
      <c r="A4042" s="1" t="s">
        <v>30</v>
      </c>
      <c r="B4042" s="1" t="s">
        <v>3460</v>
      </c>
      <c r="C4042" s="1" t="s">
        <v>1935</v>
      </c>
      <c r="D4042" s="1" t="s">
        <v>12805</v>
      </c>
      <c r="G4042" s="1" t="s">
        <v>12898</v>
      </c>
    </row>
    <row r="4043" spans="1:7" x14ac:dyDescent="0.3">
      <c r="A4043" s="1" t="s">
        <v>30</v>
      </c>
      <c r="B4043" s="1" t="s">
        <v>12899</v>
      </c>
      <c r="C4043" s="1" t="s">
        <v>12900</v>
      </c>
      <c r="D4043" s="1" t="s">
        <v>12805</v>
      </c>
      <c r="F4043" s="1" t="s">
        <v>12901</v>
      </c>
      <c r="G4043" s="1" t="s">
        <v>12902</v>
      </c>
    </row>
    <row r="4044" spans="1:7" x14ac:dyDescent="0.3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 x14ac:dyDescent="0.3">
      <c r="A4045" s="1" t="s">
        <v>30</v>
      </c>
      <c r="B4045" s="1" t="s">
        <v>12908</v>
      </c>
      <c r="C4045" s="1" t="s">
        <v>2482</v>
      </c>
      <c r="D4045" s="1" t="s">
        <v>12805</v>
      </c>
      <c r="F4045" s="1" t="s">
        <v>12909</v>
      </c>
      <c r="G4045" s="1" t="s">
        <v>12910</v>
      </c>
    </row>
    <row r="4046" spans="1:7" x14ac:dyDescent="0.3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 x14ac:dyDescent="0.3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 x14ac:dyDescent="0.3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 x14ac:dyDescent="0.3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 x14ac:dyDescent="0.3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 x14ac:dyDescent="0.3">
      <c r="A4051" s="1" t="s">
        <v>680</v>
      </c>
      <c r="B4051" s="1" t="s">
        <v>12930</v>
      </c>
      <c r="D4051" s="1" t="s">
        <v>12805</v>
      </c>
      <c r="E4051" s="1" t="s">
        <v>12805</v>
      </c>
    </row>
    <row r="4052" spans="1:7" x14ac:dyDescent="0.3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 x14ac:dyDescent="0.3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 x14ac:dyDescent="0.3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</row>
    <row r="4055" spans="1:7" x14ac:dyDescent="0.3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</row>
    <row r="4056" spans="1:7" x14ac:dyDescent="0.3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G4056" s="1" t="s">
        <v>12945</v>
      </c>
    </row>
    <row r="4057" spans="1:7" x14ac:dyDescent="0.3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G4057" s="1" t="s">
        <v>12948</v>
      </c>
    </row>
    <row r="4058" spans="1:7" x14ac:dyDescent="0.3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</row>
    <row r="4059" spans="1:7" x14ac:dyDescent="0.3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 x14ac:dyDescent="0.3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</row>
    <row r="4061" spans="1:7" x14ac:dyDescent="0.3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 x14ac:dyDescent="0.3">
      <c r="A4062" s="1" t="s">
        <v>30</v>
      </c>
      <c r="B4062" s="1" t="s">
        <v>12962</v>
      </c>
      <c r="C4062" s="1" t="s">
        <v>12963</v>
      </c>
      <c r="D4062" s="1" t="s">
        <v>12805</v>
      </c>
      <c r="G4062" s="1" t="s">
        <v>12964</v>
      </c>
    </row>
    <row r="4063" spans="1:7" x14ac:dyDescent="0.3">
      <c r="A4063" s="1" t="s">
        <v>13</v>
      </c>
      <c r="B4063" s="1" t="s">
        <v>12965</v>
      </c>
      <c r="C4063" s="1" t="s">
        <v>12966</v>
      </c>
      <c r="D4063" s="1" t="s">
        <v>12805</v>
      </c>
      <c r="G4063" s="1" t="s">
        <v>8364</v>
      </c>
    </row>
    <row r="4064" spans="1:7" x14ac:dyDescent="0.3">
      <c r="A4064" s="1" t="s">
        <v>83</v>
      </c>
      <c r="B4064" s="1" t="s">
        <v>12967</v>
      </c>
      <c r="C4064" s="1" t="s">
        <v>12968</v>
      </c>
      <c r="D4064" s="1" t="s">
        <v>12805</v>
      </c>
      <c r="F4064" s="1" t="s">
        <v>12969</v>
      </c>
      <c r="G4064" s="1" t="s">
        <v>12970</v>
      </c>
    </row>
    <row r="4065" spans="1:7" x14ac:dyDescent="0.3">
      <c r="A4065" s="1" t="s">
        <v>30</v>
      </c>
      <c r="B4065" s="1" t="s">
        <v>12971</v>
      </c>
      <c r="C4065" s="1" t="s">
        <v>12972</v>
      </c>
      <c r="D4065" s="1" t="s">
        <v>12805</v>
      </c>
      <c r="F4065" s="1" t="s">
        <v>12973</v>
      </c>
      <c r="G4065" s="1" t="s">
        <v>12974</v>
      </c>
    </row>
    <row r="4066" spans="1:7" x14ac:dyDescent="0.3">
      <c r="A4066" s="1" t="s">
        <v>83</v>
      </c>
      <c r="B4066" s="1" t="s">
        <v>12975</v>
      </c>
      <c r="C4066" s="1" t="s">
        <v>12976</v>
      </c>
      <c r="D4066" s="1" t="s">
        <v>12805</v>
      </c>
      <c r="G4066" s="1" t="s">
        <v>12977</v>
      </c>
    </row>
    <row r="4067" spans="1:7" x14ac:dyDescent="0.3">
      <c r="A4067" s="1" t="s">
        <v>30</v>
      </c>
      <c r="B4067" s="1" t="s">
        <v>12978</v>
      </c>
      <c r="C4067" s="1" t="s">
        <v>12979</v>
      </c>
      <c r="D4067" s="1" t="s">
        <v>12805</v>
      </c>
      <c r="F4067" s="1" t="s">
        <v>12980</v>
      </c>
      <c r="G4067" s="1" t="s">
        <v>12981</v>
      </c>
    </row>
    <row r="4068" spans="1:7" x14ac:dyDescent="0.3">
      <c r="A4068" s="1" t="s">
        <v>30</v>
      </c>
      <c r="B4068" s="1" t="s">
        <v>12982</v>
      </c>
      <c r="C4068" s="1" t="s">
        <v>12983</v>
      </c>
      <c r="D4068" s="1" t="s">
        <v>12805</v>
      </c>
      <c r="F4068" s="1" t="s">
        <v>12984</v>
      </c>
      <c r="G4068" s="1" t="s">
        <v>12985</v>
      </c>
    </row>
    <row r="4069" spans="1:7" x14ac:dyDescent="0.3">
      <c r="A4069" s="1" t="s">
        <v>680</v>
      </c>
      <c r="B4069" s="1" t="s">
        <v>12986</v>
      </c>
      <c r="C4069" s="1" t="s">
        <v>12987</v>
      </c>
      <c r="D4069" s="1" t="s">
        <v>12805</v>
      </c>
      <c r="G4069" s="1" t="s">
        <v>12988</v>
      </c>
    </row>
    <row r="4070" spans="1:7" x14ac:dyDescent="0.3">
      <c r="A4070" s="1" t="s">
        <v>680</v>
      </c>
      <c r="B4070" s="1" t="s">
        <v>12989</v>
      </c>
      <c r="C4070" s="1" t="s">
        <v>12990</v>
      </c>
      <c r="D4070" s="1" t="s">
        <v>12805</v>
      </c>
      <c r="G4070" s="1" t="s">
        <v>12991</v>
      </c>
    </row>
    <row r="4071" spans="1:7" x14ac:dyDescent="0.3">
      <c r="A4071" s="1" t="s">
        <v>30</v>
      </c>
      <c r="B4071" s="1" t="s">
        <v>12992</v>
      </c>
      <c r="C4071" s="1" t="s">
        <v>12993</v>
      </c>
      <c r="D4071" s="1" t="s">
        <v>12805</v>
      </c>
      <c r="F4071" s="1" t="s">
        <v>12994</v>
      </c>
      <c r="G4071" s="1" t="s">
        <v>12995</v>
      </c>
    </row>
    <row r="4072" spans="1:7" x14ac:dyDescent="0.3">
      <c r="A4072" s="1" t="s">
        <v>680</v>
      </c>
      <c r="B4072" s="1" t="s">
        <v>11633</v>
      </c>
      <c r="D4072" s="1" t="s">
        <v>12805</v>
      </c>
      <c r="G4072" s="1" t="s">
        <v>12996</v>
      </c>
    </row>
    <row r="4073" spans="1:7" x14ac:dyDescent="0.3">
      <c r="A4073" s="1" t="s">
        <v>680</v>
      </c>
      <c r="B4073" s="1" t="s">
        <v>12997</v>
      </c>
      <c r="D4073" s="1" t="s">
        <v>12805</v>
      </c>
    </row>
    <row r="4074" spans="1:7" x14ac:dyDescent="0.3">
      <c r="A4074" s="1" t="s">
        <v>680</v>
      </c>
      <c r="B4074" s="1" t="s">
        <v>12998</v>
      </c>
      <c r="D4074" s="1" t="s">
        <v>12805</v>
      </c>
    </row>
    <row r="4075" spans="1:7" x14ac:dyDescent="0.3">
      <c r="A4075" s="1" t="s">
        <v>680</v>
      </c>
      <c r="B4075" s="1" t="s">
        <v>12999</v>
      </c>
      <c r="D4075" s="1" t="s">
        <v>12805</v>
      </c>
    </row>
    <row r="4076" spans="1:7" x14ac:dyDescent="0.3">
      <c r="A4076" s="1" t="s">
        <v>680</v>
      </c>
      <c r="B4076" s="1" t="s">
        <v>13000</v>
      </c>
      <c r="D4076" s="1" t="s">
        <v>12805</v>
      </c>
    </row>
    <row r="4077" spans="1:7" x14ac:dyDescent="0.3">
      <c r="A4077" s="1" t="s">
        <v>680</v>
      </c>
      <c r="B4077" s="1" t="s">
        <v>13001</v>
      </c>
      <c r="D4077" s="1" t="s">
        <v>12805</v>
      </c>
    </row>
    <row r="4078" spans="1:7" x14ac:dyDescent="0.3">
      <c r="A4078" s="1" t="s">
        <v>680</v>
      </c>
      <c r="B4078" s="1" t="s">
        <v>13002</v>
      </c>
      <c r="D4078" s="1" t="s">
        <v>12805</v>
      </c>
    </row>
    <row r="4079" spans="1:7" x14ac:dyDescent="0.3">
      <c r="A4079" s="1" t="s">
        <v>680</v>
      </c>
      <c r="B4079" s="1" t="s">
        <v>13003</v>
      </c>
      <c r="D4079" s="1" t="s">
        <v>12805</v>
      </c>
    </row>
    <row r="4080" spans="1:7" x14ac:dyDescent="0.3">
      <c r="A4080" s="1" t="s">
        <v>680</v>
      </c>
      <c r="B4080" s="1" t="s">
        <v>13004</v>
      </c>
      <c r="D4080" s="1" t="s">
        <v>12805</v>
      </c>
    </row>
    <row r="4081" spans="1:7" x14ac:dyDescent="0.3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G4081" s="1" t="s">
        <v>13008</v>
      </c>
    </row>
    <row r="4082" spans="1:7" x14ac:dyDescent="0.3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G4082" s="1" t="s">
        <v>8364</v>
      </c>
    </row>
    <row r="4083" spans="1:7" x14ac:dyDescent="0.3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G4083" s="1" t="s">
        <v>13013</v>
      </c>
    </row>
    <row r="4084" spans="1:7" x14ac:dyDescent="0.3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G4084" s="1" t="s">
        <v>13016</v>
      </c>
    </row>
    <row r="4085" spans="1:7" x14ac:dyDescent="0.3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G4085" s="1" t="s">
        <v>13019</v>
      </c>
    </row>
    <row r="4086" spans="1:7" x14ac:dyDescent="0.3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 x14ac:dyDescent="0.3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 x14ac:dyDescent="0.3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G4088" s="1" t="s">
        <v>13031</v>
      </c>
    </row>
    <row r="4089" spans="1:7" x14ac:dyDescent="0.3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</row>
    <row r="4090" spans="1:7" x14ac:dyDescent="0.3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</row>
    <row r="4091" spans="1:7" x14ac:dyDescent="0.3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</row>
    <row r="4092" spans="1:7" x14ac:dyDescent="0.3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</row>
    <row r="4093" spans="1:7" x14ac:dyDescent="0.3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</row>
    <row r="4094" spans="1:7" x14ac:dyDescent="0.3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</row>
    <row r="4095" spans="1:7" x14ac:dyDescent="0.3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</row>
    <row r="4096" spans="1:7" x14ac:dyDescent="0.3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</row>
    <row r="4097" spans="1:7" x14ac:dyDescent="0.3">
      <c r="A4097" s="1" t="s">
        <v>13</v>
      </c>
      <c r="B4097" s="1" t="s">
        <v>13048</v>
      </c>
      <c r="D4097" s="1" t="s">
        <v>13030</v>
      </c>
      <c r="E4097" s="1" t="s">
        <v>13030</v>
      </c>
    </row>
    <row r="4098" spans="1:7" x14ac:dyDescent="0.3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G4098" s="1" t="s">
        <v>13051</v>
      </c>
    </row>
    <row r="4099" spans="1:7" x14ac:dyDescent="0.3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G4099" s="1" t="s">
        <v>13054</v>
      </c>
    </row>
    <row r="4100" spans="1:7" x14ac:dyDescent="0.3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G4100" s="1" t="s">
        <v>13057</v>
      </c>
    </row>
    <row r="4101" spans="1:7" x14ac:dyDescent="0.3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</row>
    <row r="4102" spans="1:7" x14ac:dyDescent="0.3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</row>
    <row r="4103" spans="1:7" x14ac:dyDescent="0.3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</row>
    <row r="4104" spans="1:7" x14ac:dyDescent="0.3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</row>
    <row r="4105" spans="1:7" x14ac:dyDescent="0.3">
      <c r="A4105" s="1" t="s">
        <v>13</v>
      </c>
      <c r="B4105" s="1" t="s">
        <v>13066</v>
      </c>
      <c r="D4105" s="1" t="s">
        <v>13030</v>
      </c>
    </row>
    <row r="4106" spans="1:7" x14ac:dyDescent="0.3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</row>
    <row r="4107" spans="1:7" x14ac:dyDescent="0.3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</row>
    <row r="4108" spans="1:7" x14ac:dyDescent="0.3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</row>
    <row r="4109" spans="1:7" x14ac:dyDescent="0.3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</row>
    <row r="4110" spans="1:7" x14ac:dyDescent="0.3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</row>
    <row r="4111" spans="1:7" x14ac:dyDescent="0.3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</row>
    <row r="4112" spans="1:7" x14ac:dyDescent="0.3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</row>
    <row r="4113" spans="1:7" x14ac:dyDescent="0.3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</row>
    <row r="4114" spans="1:7" x14ac:dyDescent="0.3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</row>
    <row r="4115" spans="1:7" x14ac:dyDescent="0.3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</row>
    <row r="4116" spans="1:7" x14ac:dyDescent="0.3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</row>
    <row r="4117" spans="1:7" x14ac:dyDescent="0.3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</row>
    <row r="4118" spans="1:7" x14ac:dyDescent="0.3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</row>
    <row r="4119" spans="1:7" x14ac:dyDescent="0.3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</row>
    <row r="4120" spans="1:7" x14ac:dyDescent="0.3">
      <c r="A4120" s="1" t="s">
        <v>30</v>
      </c>
      <c r="B4120" s="1" t="s">
        <v>13095</v>
      </c>
      <c r="C4120" s="1" t="s">
        <v>13096</v>
      </c>
      <c r="D4120" s="1" t="s">
        <v>13030</v>
      </c>
      <c r="F4120" s="1" t="s">
        <v>13097</v>
      </c>
      <c r="G4120" s="1" t="s">
        <v>13098</v>
      </c>
    </row>
    <row r="4121" spans="1:7" x14ac:dyDescent="0.3">
      <c r="A4121" s="1" t="s">
        <v>13</v>
      </c>
      <c r="B4121" s="1" t="s">
        <v>13099</v>
      </c>
      <c r="C4121" s="1" t="s">
        <v>13100</v>
      </c>
      <c r="D4121" s="1" t="s">
        <v>13030</v>
      </c>
    </row>
    <row r="4122" spans="1:7" x14ac:dyDescent="0.3">
      <c r="A4122" s="1" t="s">
        <v>13</v>
      </c>
      <c r="B4122" s="1" t="s">
        <v>13101</v>
      </c>
      <c r="C4122" s="1" t="s">
        <v>13102</v>
      </c>
      <c r="D4122" s="1" t="s">
        <v>13030</v>
      </c>
      <c r="G4122" s="1" t="s">
        <v>13103</v>
      </c>
    </row>
    <row r="4123" spans="1:7" x14ac:dyDescent="0.3">
      <c r="A4123" s="1" t="s">
        <v>13</v>
      </c>
      <c r="B4123" s="1" t="s">
        <v>13104</v>
      </c>
      <c r="C4123" s="1" t="s">
        <v>13105</v>
      </c>
      <c r="D4123" s="1" t="s">
        <v>13030</v>
      </c>
      <c r="G4123" s="1" t="s">
        <v>13106</v>
      </c>
    </row>
    <row r="4124" spans="1:7" x14ac:dyDescent="0.3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</row>
    <row r="4125" spans="1:7" x14ac:dyDescent="0.3">
      <c r="A4125" s="1" t="s">
        <v>13</v>
      </c>
      <c r="B4125" s="1" t="s">
        <v>13110</v>
      </c>
      <c r="C4125" s="1" t="s">
        <v>13111</v>
      </c>
      <c r="D4125" s="1" t="s">
        <v>13030</v>
      </c>
    </row>
    <row r="4126" spans="1:7" x14ac:dyDescent="0.3">
      <c r="A4126" s="1" t="s">
        <v>13</v>
      </c>
      <c r="B4126" s="1" t="s">
        <v>13112</v>
      </c>
      <c r="C4126" s="1" t="s">
        <v>13113</v>
      </c>
      <c r="D4126" s="1" t="s">
        <v>13030</v>
      </c>
      <c r="G4126" s="1" t="s">
        <v>13114</v>
      </c>
    </row>
    <row r="4127" spans="1:7" x14ac:dyDescent="0.3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 x14ac:dyDescent="0.3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G4128" s="1" t="s">
        <v>13122</v>
      </c>
    </row>
    <row r="4129" spans="1:7" x14ac:dyDescent="0.3">
      <c r="A4129" s="1" t="s">
        <v>30</v>
      </c>
      <c r="B4129" s="1" t="s">
        <v>13123</v>
      </c>
      <c r="C4129" s="1" t="s">
        <v>13124</v>
      </c>
      <c r="D4129" s="1" t="s">
        <v>13030</v>
      </c>
      <c r="F4129" s="1" t="s">
        <v>13125</v>
      </c>
      <c r="G4129" s="1" t="s">
        <v>13126</v>
      </c>
    </row>
    <row r="4130" spans="1:7" x14ac:dyDescent="0.3">
      <c r="A4130" s="1" t="s">
        <v>680</v>
      </c>
      <c r="B4130" s="1" t="s">
        <v>13127</v>
      </c>
      <c r="D4130" s="1" t="s">
        <v>13030</v>
      </c>
      <c r="G4130" s="1" t="s">
        <v>13128</v>
      </c>
    </row>
    <row r="4131" spans="1:7" x14ac:dyDescent="0.3">
      <c r="A4131" s="1" t="s">
        <v>13</v>
      </c>
      <c r="B4131" s="1" t="s">
        <v>13129</v>
      </c>
      <c r="C4131" s="1" t="s">
        <v>13130</v>
      </c>
      <c r="D4131" s="1" t="s">
        <v>13030</v>
      </c>
      <c r="F4131" s="1" t="s">
        <v>13131</v>
      </c>
      <c r="G4131" s="1" t="s">
        <v>13132</v>
      </c>
    </row>
    <row r="4132" spans="1:7" x14ac:dyDescent="0.3">
      <c r="A4132" s="1" t="s">
        <v>680</v>
      </c>
      <c r="B4132" s="1" t="s">
        <v>4641</v>
      </c>
      <c r="D4132" s="1" t="s">
        <v>13030</v>
      </c>
      <c r="E4132" s="1" t="s">
        <v>13109</v>
      </c>
      <c r="G4132" s="1" t="s">
        <v>13133</v>
      </c>
    </row>
    <row r="4133" spans="1:7" x14ac:dyDescent="0.3">
      <c r="A4133" s="1" t="s">
        <v>30</v>
      </c>
      <c r="B4133" s="1" t="s">
        <v>13134</v>
      </c>
      <c r="C4133" s="1" t="s">
        <v>13135</v>
      </c>
      <c r="D4133" s="1" t="s">
        <v>13030</v>
      </c>
      <c r="G4133" s="1" t="s">
        <v>13136</v>
      </c>
    </row>
    <row r="4134" spans="1:7" x14ac:dyDescent="0.3">
      <c r="A4134" s="1" t="s">
        <v>7</v>
      </c>
      <c r="B4134" s="1" t="s">
        <v>13137</v>
      </c>
      <c r="C4134" s="1" t="s">
        <v>13138</v>
      </c>
      <c r="D4134" s="1" t="s">
        <v>13030</v>
      </c>
      <c r="G4134" s="1" t="s">
        <v>13139</v>
      </c>
    </row>
    <row r="4135" spans="1:7" x14ac:dyDescent="0.3">
      <c r="A4135" s="1" t="s">
        <v>30</v>
      </c>
      <c r="B4135" s="1" t="s">
        <v>13140</v>
      </c>
      <c r="C4135" s="1" t="s">
        <v>13141</v>
      </c>
      <c r="D4135" s="1" t="s">
        <v>13030</v>
      </c>
      <c r="F4135" s="1" t="s">
        <v>13142</v>
      </c>
      <c r="G4135" s="1" t="s">
        <v>13143</v>
      </c>
    </row>
    <row r="4136" spans="1:7" x14ac:dyDescent="0.3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G4136" s="1" t="s">
        <v>13146</v>
      </c>
    </row>
    <row r="4137" spans="1:7" x14ac:dyDescent="0.3">
      <c r="A4137" s="1" t="s">
        <v>680</v>
      </c>
      <c r="B4137" s="1" t="s">
        <v>13147</v>
      </c>
      <c r="D4137" s="1" t="s">
        <v>13030</v>
      </c>
      <c r="F4137" s="1" t="s">
        <v>13148</v>
      </c>
    </row>
    <row r="4138" spans="1:7" x14ac:dyDescent="0.3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G4138" s="1" t="s">
        <v>13151</v>
      </c>
    </row>
    <row r="4139" spans="1:7" x14ac:dyDescent="0.3">
      <c r="A4139" s="1" t="s">
        <v>36</v>
      </c>
      <c r="B4139" s="1" t="s">
        <v>13152</v>
      </c>
      <c r="C4139" s="1" t="s">
        <v>13153</v>
      </c>
      <c r="D4139" s="1" t="s">
        <v>13030</v>
      </c>
      <c r="F4139" s="1" t="s">
        <v>13154</v>
      </c>
      <c r="G4139" s="1" t="s">
        <v>13155</v>
      </c>
    </row>
    <row r="4140" spans="1:7" x14ac:dyDescent="0.3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 x14ac:dyDescent="0.3">
      <c r="A4141" s="1" t="s">
        <v>83</v>
      </c>
      <c r="B4141" s="1" t="s">
        <v>13161</v>
      </c>
      <c r="C4141" s="1" t="s">
        <v>13162</v>
      </c>
      <c r="D4141" s="1" t="s">
        <v>13030</v>
      </c>
      <c r="G4141" s="1" t="s">
        <v>13163</v>
      </c>
    </row>
    <row r="4142" spans="1:7" x14ac:dyDescent="0.3">
      <c r="A4142" s="1" t="s">
        <v>30</v>
      </c>
      <c r="B4142" s="1" t="s">
        <v>13164</v>
      </c>
      <c r="C4142" s="1" t="s">
        <v>13165</v>
      </c>
      <c r="D4142" s="1" t="s">
        <v>13030</v>
      </c>
      <c r="F4142" s="1" t="s">
        <v>13166</v>
      </c>
      <c r="G4142" s="1" t="s">
        <v>13167</v>
      </c>
    </row>
    <row r="4143" spans="1:7" x14ac:dyDescent="0.3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 x14ac:dyDescent="0.3">
      <c r="A4144" s="1" t="s">
        <v>83</v>
      </c>
      <c r="B4144" s="1" t="s">
        <v>13173</v>
      </c>
      <c r="C4144" s="1" t="s">
        <v>13174</v>
      </c>
      <c r="D4144" s="1" t="s">
        <v>13030</v>
      </c>
      <c r="F4144" s="1" t="s">
        <v>13175</v>
      </c>
      <c r="G4144" s="1" t="s">
        <v>13176</v>
      </c>
    </row>
    <row r="4145" spans="1:7" x14ac:dyDescent="0.3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 x14ac:dyDescent="0.3">
      <c r="A4146" s="1" t="s">
        <v>680</v>
      </c>
      <c r="B4146" s="1" t="s">
        <v>13182</v>
      </c>
      <c r="D4146" s="1" t="s">
        <v>13030</v>
      </c>
      <c r="E4146" s="1" t="s">
        <v>13109</v>
      </c>
      <c r="G4146" s="1" t="s">
        <v>13183</v>
      </c>
    </row>
    <row r="4147" spans="1:7" x14ac:dyDescent="0.3">
      <c r="A4147" s="1" t="s">
        <v>30</v>
      </c>
      <c r="B4147" s="1" t="s">
        <v>13184</v>
      </c>
      <c r="C4147" s="1" t="s">
        <v>13185</v>
      </c>
      <c r="D4147" s="1" t="s">
        <v>13030</v>
      </c>
      <c r="G4147" s="1" t="s">
        <v>13186</v>
      </c>
    </row>
    <row r="4148" spans="1:7" x14ac:dyDescent="0.3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 x14ac:dyDescent="0.3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 x14ac:dyDescent="0.3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G4150" s="1" t="s">
        <v>13197</v>
      </c>
    </row>
    <row r="4151" spans="1:7" x14ac:dyDescent="0.3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 x14ac:dyDescent="0.3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 x14ac:dyDescent="0.3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 x14ac:dyDescent="0.3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 x14ac:dyDescent="0.3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G4155" s="1" t="s">
        <v>13216</v>
      </c>
    </row>
    <row r="4156" spans="1:7" x14ac:dyDescent="0.3">
      <c r="A4156" s="1" t="s">
        <v>89</v>
      </c>
      <c r="B4156" s="1" t="s">
        <v>13217</v>
      </c>
      <c r="D4156" s="1" t="s">
        <v>13030</v>
      </c>
      <c r="E4156" s="1" t="s">
        <v>13109</v>
      </c>
    </row>
    <row r="4157" spans="1:7" x14ac:dyDescent="0.3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G4157" s="1" t="s">
        <v>13219</v>
      </c>
    </row>
    <row r="4158" spans="1:7" x14ac:dyDescent="0.3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G4158" s="1" t="s">
        <v>13222</v>
      </c>
    </row>
    <row r="4159" spans="1:7" x14ac:dyDescent="0.3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 x14ac:dyDescent="0.3">
      <c r="A4160" s="1" t="s">
        <v>30</v>
      </c>
      <c r="B4160" s="1" t="s">
        <v>13227</v>
      </c>
      <c r="C4160" s="1" t="s">
        <v>13228</v>
      </c>
      <c r="D4160" s="1" t="s">
        <v>13030</v>
      </c>
      <c r="G4160" s="1" t="s">
        <v>13229</v>
      </c>
    </row>
    <row r="4161" spans="1:7" x14ac:dyDescent="0.3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 x14ac:dyDescent="0.3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 x14ac:dyDescent="0.3">
      <c r="A4163" s="1" t="s">
        <v>572</v>
      </c>
      <c r="B4163" s="1" t="s">
        <v>9752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 x14ac:dyDescent="0.3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G4164" s="1" t="s">
        <v>13242</v>
      </c>
    </row>
    <row r="4165" spans="1:7" x14ac:dyDescent="0.3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</row>
    <row r="4166" spans="1:7" x14ac:dyDescent="0.3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</row>
    <row r="4167" spans="1:7" x14ac:dyDescent="0.3">
      <c r="A4167" s="1" t="s">
        <v>572</v>
      </c>
      <c r="B4167" s="1" t="s">
        <v>13247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 x14ac:dyDescent="0.3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 x14ac:dyDescent="0.3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 x14ac:dyDescent="0.3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G4170" s="1" t="s">
        <v>13260</v>
      </c>
    </row>
    <row r="4171" spans="1:7" x14ac:dyDescent="0.3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G4171" s="1" t="s">
        <v>13262</v>
      </c>
    </row>
    <row r="4172" spans="1:7" x14ac:dyDescent="0.3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 x14ac:dyDescent="0.3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 x14ac:dyDescent="0.3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 x14ac:dyDescent="0.3">
      <c r="A4175" s="1" t="s">
        <v>30</v>
      </c>
      <c r="B4175" s="1" t="s">
        <v>13274</v>
      </c>
      <c r="C4175" s="1" t="s">
        <v>13275</v>
      </c>
      <c r="D4175" s="1" t="s">
        <v>13030</v>
      </c>
    </row>
    <row r="4176" spans="1:7" x14ac:dyDescent="0.3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 x14ac:dyDescent="0.3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 x14ac:dyDescent="0.3">
      <c r="A4178" s="1" t="s">
        <v>680</v>
      </c>
      <c r="B4178" s="1" t="s">
        <v>13285</v>
      </c>
      <c r="D4178" s="1" t="s">
        <v>13030</v>
      </c>
      <c r="E4178" s="1" t="s">
        <v>13030</v>
      </c>
    </row>
    <row r="4179" spans="1:7" x14ac:dyDescent="0.3">
      <c r="A4179" s="1" t="s">
        <v>680</v>
      </c>
      <c r="B4179" s="1" t="s">
        <v>13286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 x14ac:dyDescent="0.3">
      <c r="A4180" s="1" t="s">
        <v>680</v>
      </c>
      <c r="B4180" s="1" t="s">
        <v>13289</v>
      </c>
      <c r="D4180" s="1" t="s">
        <v>13030</v>
      </c>
      <c r="E4180" s="1" t="s">
        <v>13109</v>
      </c>
    </row>
    <row r="4181" spans="1:7" x14ac:dyDescent="0.3">
      <c r="A4181" s="1" t="s">
        <v>680</v>
      </c>
      <c r="B4181" s="1" t="s">
        <v>8231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 x14ac:dyDescent="0.3">
      <c r="A4182" s="1" t="s">
        <v>680</v>
      </c>
      <c r="B4182" s="1" t="s">
        <v>13292</v>
      </c>
      <c r="D4182" s="1" t="s">
        <v>13030</v>
      </c>
      <c r="E4182" s="1" t="s">
        <v>13109</v>
      </c>
      <c r="F4182" s="1" t="s">
        <v>13293</v>
      </c>
    </row>
    <row r="4183" spans="1:7" x14ac:dyDescent="0.3">
      <c r="A4183" s="1" t="s">
        <v>680</v>
      </c>
      <c r="B4183" s="1" t="s">
        <v>13294</v>
      </c>
      <c r="D4183" s="1" t="s">
        <v>13030</v>
      </c>
      <c r="E4183" s="1" t="s">
        <v>13109</v>
      </c>
    </row>
    <row r="4184" spans="1:7" x14ac:dyDescent="0.3">
      <c r="A4184" s="1" t="s">
        <v>680</v>
      </c>
      <c r="B4184" s="1" t="s">
        <v>13295</v>
      </c>
      <c r="D4184" s="1" t="s">
        <v>13030</v>
      </c>
      <c r="E4184" s="1" t="s">
        <v>13109</v>
      </c>
      <c r="F4184" s="1" t="s">
        <v>13296</v>
      </c>
    </row>
    <row r="4185" spans="1:7" x14ac:dyDescent="0.3">
      <c r="A4185" s="1" t="s">
        <v>680</v>
      </c>
      <c r="B4185" s="1" t="s">
        <v>13297</v>
      </c>
      <c r="D4185" s="1" t="s">
        <v>13030</v>
      </c>
      <c r="E4185" s="1" t="s">
        <v>13030</v>
      </c>
    </row>
    <row r="4186" spans="1:7" x14ac:dyDescent="0.3">
      <c r="A4186" s="1" t="s">
        <v>680</v>
      </c>
      <c r="B4186" s="1" t="s">
        <v>13298</v>
      </c>
      <c r="D4186" s="1" t="s">
        <v>13030</v>
      </c>
      <c r="E4186" s="1" t="s">
        <v>13109</v>
      </c>
    </row>
    <row r="4187" spans="1:7" x14ac:dyDescent="0.3">
      <c r="A4187" s="1" t="s">
        <v>680</v>
      </c>
      <c r="B4187" s="1" t="s">
        <v>13299</v>
      </c>
      <c r="D4187" s="1" t="s">
        <v>13030</v>
      </c>
      <c r="E4187" s="1" t="s">
        <v>13109</v>
      </c>
    </row>
    <row r="4188" spans="1:7" x14ac:dyDescent="0.3">
      <c r="A4188" s="1" t="s">
        <v>680</v>
      </c>
      <c r="B4188" s="1" t="s">
        <v>2843</v>
      </c>
      <c r="D4188" s="1" t="s">
        <v>13030</v>
      </c>
      <c r="E4188" s="1" t="s">
        <v>13109</v>
      </c>
    </row>
    <row r="4189" spans="1:7" x14ac:dyDescent="0.3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 x14ac:dyDescent="0.3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 x14ac:dyDescent="0.3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 x14ac:dyDescent="0.3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 x14ac:dyDescent="0.3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 x14ac:dyDescent="0.3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G4194" s="1" t="s">
        <v>13323</v>
      </c>
    </row>
    <row r="4195" spans="1:7" x14ac:dyDescent="0.3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 x14ac:dyDescent="0.3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 x14ac:dyDescent="0.3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 x14ac:dyDescent="0.3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 x14ac:dyDescent="0.3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G4199" s="1" t="s">
        <v>13341</v>
      </c>
    </row>
    <row r="4200" spans="1:7" x14ac:dyDescent="0.3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G4200" s="1" t="s">
        <v>13344</v>
      </c>
    </row>
    <row r="4201" spans="1:7" x14ac:dyDescent="0.3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 x14ac:dyDescent="0.3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 x14ac:dyDescent="0.3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 x14ac:dyDescent="0.3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 x14ac:dyDescent="0.3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 x14ac:dyDescent="0.3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 x14ac:dyDescent="0.3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 x14ac:dyDescent="0.3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 x14ac:dyDescent="0.3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 x14ac:dyDescent="0.3">
      <c r="A4210" s="1" t="s">
        <v>36</v>
      </c>
      <c r="B4210" s="1" t="s">
        <v>13381</v>
      </c>
      <c r="C4210" s="1" t="s">
        <v>13382</v>
      </c>
      <c r="D4210" s="1" t="s">
        <v>13302</v>
      </c>
      <c r="F4210" s="1" t="s">
        <v>13383</v>
      </c>
      <c r="G4210" s="1" t="s">
        <v>13384</v>
      </c>
    </row>
    <row r="4211" spans="1:7" x14ac:dyDescent="0.3">
      <c r="A4211" s="1" t="s">
        <v>30</v>
      </c>
      <c r="B4211" s="1" t="s">
        <v>13385</v>
      </c>
      <c r="C4211" s="1" t="s">
        <v>13386</v>
      </c>
      <c r="D4211" s="1" t="s">
        <v>13302</v>
      </c>
      <c r="F4211" s="1" t="s">
        <v>13387</v>
      </c>
      <c r="G4211" s="1" t="s">
        <v>13388</v>
      </c>
    </row>
    <row r="4212" spans="1:7" x14ac:dyDescent="0.3">
      <c r="A4212" s="1" t="s">
        <v>83</v>
      </c>
      <c r="B4212" s="1" t="s">
        <v>13389</v>
      </c>
      <c r="D4212" s="1" t="s">
        <v>13302</v>
      </c>
      <c r="F4212" s="1" t="s">
        <v>13390</v>
      </c>
      <c r="G4212" s="1" t="s">
        <v>13391</v>
      </c>
    </row>
    <row r="4213" spans="1:7" x14ac:dyDescent="0.3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 x14ac:dyDescent="0.3">
      <c r="A4214" s="1" t="s">
        <v>83</v>
      </c>
      <c r="B4214" s="1" t="s">
        <v>13396</v>
      </c>
      <c r="C4214" s="1" t="s">
        <v>13397</v>
      </c>
      <c r="D4214" s="1" t="s">
        <v>13302</v>
      </c>
      <c r="G4214" s="1" t="s">
        <v>13398</v>
      </c>
    </row>
    <row r="4215" spans="1:7" x14ac:dyDescent="0.3">
      <c r="A4215" s="1" t="s">
        <v>83</v>
      </c>
      <c r="B4215" s="1" t="s">
        <v>13399</v>
      </c>
      <c r="C4215" s="1" t="s">
        <v>13400</v>
      </c>
      <c r="D4215" s="1" t="s">
        <v>13302</v>
      </c>
      <c r="G4215" s="1" t="s">
        <v>13401</v>
      </c>
    </row>
    <row r="4216" spans="1:7" x14ac:dyDescent="0.3">
      <c r="A4216" s="1" t="s">
        <v>36</v>
      </c>
      <c r="B4216" s="1" t="s">
        <v>13402</v>
      </c>
      <c r="C4216" s="1" t="s">
        <v>13403</v>
      </c>
      <c r="D4216" s="1" t="s">
        <v>13302</v>
      </c>
      <c r="G4216" s="1" t="s">
        <v>13404</v>
      </c>
    </row>
    <row r="4217" spans="1:7" x14ac:dyDescent="0.3">
      <c r="A4217" s="1" t="s">
        <v>89</v>
      </c>
      <c r="B4217" s="1" t="s">
        <v>13405</v>
      </c>
      <c r="D4217" s="1" t="s">
        <v>13302</v>
      </c>
    </row>
    <row r="4218" spans="1:7" x14ac:dyDescent="0.3">
      <c r="A4218" s="1" t="s">
        <v>30</v>
      </c>
      <c r="B4218" s="1" t="s">
        <v>13406</v>
      </c>
      <c r="C4218" s="1" t="s">
        <v>13407</v>
      </c>
      <c r="D4218" s="1" t="s">
        <v>13302</v>
      </c>
      <c r="F4218" s="1" t="s">
        <v>13408</v>
      </c>
      <c r="G4218" s="1" t="s">
        <v>13409</v>
      </c>
    </row>
    <row r="4219" spans="1:7" x14ac:dyDescent="0.3">
      <c r="A4219" s="1" t="s">
        <v>30</v>
      </c>
      <c r="B4219" s="1" t="s">
        <v>13410</v>
      </c>
      <c r="C4219" s="1" t="s">
        <v>13411</v>
      </c>
      <c r="D4219" s="1" t="s">
        <v>13302</v>
      </c>
      <c r="G4219" s="1" t="s">
        <v>13412</v>
      </c>
    </row>
    <row r="4220" spans="1:7" x14ac:dyDescent="0.3">
      <c r="A4220" s="1" t="s">
        <v>30</v>
      </c>
      <c r="B4220" s="1" t="s">
        <v>13413</v>
      </c>
      <c r="C4220" s="1" t="s">
        <v>13414</v>
      </c>
      <c r="D4220" s="1" t="s">
        <v>13302</v>
      </c>
      <c r="F4220" s="1" t="s">
        <v>13415</v>
      </c>
      <c r="G4220" s="1" t="s">
        <v>13416</v>
      </c>
    </row>
    <row r="4221" spans="1:7" x14ac:dyDescent="0.3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G4221" s="1" t="s">
        <v>13419</v>
      </c>
    </row>
    <row r="4222" spans="1:7" x14ac:dyDescent="0.3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G4222" s="1" t="s">
        <v>13422</v>
      </c>
    </row>
    <row r="4223" spans="1:7" x14ac:dyDescent="0.3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G4223" s="1" t="s">
        <v>13425</v>
      </c>
    </row>
    <row r="4224" spans="1:7" x14ac:dyDescent="0.3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G4224" s="1" t="s">
        <v>13425</v>
      </c>
    </row>
    <row r="4225" spans="1:7" x14ac:dyDescent="0.3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G4225" s="1" t="s">
        <v>13429</v>
      </c>
    </row>
    <row r="4226" spans="1:7" x14ac:dyDescent="0.3">
      <c r="A4226" s="1" t="s">
        <v>83</v>
      </c>
      <c r="B4226" s="1" t="s">
        <v>13430</v>
      </c>
      <c r="C4226" s="1" t="s">
        <v>13431</v>
      </c>
      <c r="D4226" s="1" t="s">
        <v>13432</v>
      </c>
      <c r="G4226" s="1" t="s">
        <v>13433</v>
      </c>
    </row>
    <row r="4227" spans="1:7" x14ac:dyDescent="0.3">
      <c r="A4227" s="1" t="s">
        <v>13</v>
      </c>
      <c r="B4227" s="1" t="s">
        <v>13434</v>
      </c>
      <c r="C4227" s="1" t="s">
        <v>13435</v>
      </c>
      <c r="D4227" s="1" t="s">
        <v>13432</v>
      </c>
      <c r="G4227" s="1" t="s">
        <v>13436</v>
      </c>
    </row>
    <row r="4228" spans="1:7" x14ac:dyDescent="0.3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G4228" s="1" t="s">
        <v>13439</v>
      </c>
    </row>
    <row r="4229" spans="1:7" x14ac:dyDescent="0.3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G4229" s="1" t="s">
        <v>13442</v>
      </c>
    </row>
    <row r="4230" spans="1:7" x14ac:dyDescent="0.3">
      <c r="A4230" s="1" t="s">
        <v>83</v>
      </c>
      <c r="B4230" s="1" t="s">
        <v>13443</v>
      </c>
      <c r="D4230" s="1" t="s">
        <v>6074</v>
      </c>
    </row>
    <row r="4231" spans="1:7" x14ac:dyDescent="0.3">
      <c r="A4231" s="1" t="s">
        <v>191</v>
      </c>
      <c r="B4231" s="1" t="s">
        <v>13444</v>
      </c>
      <c r="D4231" s="1" t="s">
        <v>6074</v>
      </c>
      <c r="E4231" s="1" t="s">
        <v>13444</v>
      </c>
    </row>
    <row r="4232" spans="1:7" x14ac:dyDescent="0.3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 x14ac:dyDescent="0.3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G4233" s="1" t="s">
        <v>13451</v>
      </c>
    </row>
    <row r="4234" spans="1:7" x14ac:dyDescent="0.3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 x14ac:dyDescent="0.3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</row>
    <row r="4236" spans="1:7" x14ac:dyDescent="0.3">
      <c r="A4236" s="1" t="s">
        <v>36</v>
      </c>
      <c r="B4236" s="1" t="s">
        <v>13457</v>
      </c>
      <c r="D4236" s="1" t="s">
        <v>6074</v>
      </c>
    </row>
    <row r="4237" spans="1:7" x14ac:dyDescent="0.3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G4237" s="1" t="s">
        <v>13460</v>
      </c>
    </row>
    <row r="4238" spans="1:7" x14ac:dyDescent="0.3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 x14ac:dyDescent="0.3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 x14ac:dyDescent="0.3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G4240" s="1" t="s">
        <v>13471</v>
      </c>
    </row>
    <row r="4241" spans="1:7" x14ac:dyDescent="0.3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 x14ac:dyDescent="0.3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</row>
    <row r="4243" spans="1:7" x14ac:dyDescent="0.3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</row>
    <row r="4244" spans="1:7" x14ac:dyDescent="0.3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 x14ac:dyDescent="0.3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</row>
    <row r="4246" spans="1:7" x14ac:dyDescent="0.3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 x14ac:dyDescent="0.3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G4247" s="1" t="s">
        <v>13495</v>
      </c>
    </row>
    <row r="4248" spans="1:7" x14ac:dyDescent="0.3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 x14ac:dyDescent="0.3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G4249" s="1" t="s">
        <v>13502</v>
      </c>
    </row>
    <row r="4250" spans="1:7" x14ac:dyDescent="0.3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 x14ac:dyDescent="0.3">
      <c r="A4251" s="1" t="s">
        <v>89</v>
      </c>
      <c r="B4251" s="1" t="s">
        <v>138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 x14ac:dyDescent="0.3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 x14ac:dyDescent="0.3">
      <c r="A4253" s="1" t="s">
        <v>83</v>
      </c>
      <c r="B4253" s="1" t="s">
        <v>13513</v>
      </c>
      <c r="D4253" s="1" t="s">
        <v>6074</v>
      </c>
      <c r="F4253" s="1" t="s">
        <v>13514</v>
      </c>
      <c r="G4253" s="1" t="s">
        <v>13515</v>
      </c>
    </row>
    <row r="4254" spans="1:7" x14ac:dyDescent="0.3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 x14ac:dyDescent="0.3">
      <c r="A4255" s="1" t="s">
        <v>30</v>
      </c>
      <c r="B4255" s="1" t="s">
        <v>13520</v>
      </c>
      <c r="C4255" s="1" t="s">
        <v>13521</v>
      </c>
      <c r="D4255" s="1" t="s">
        <v>6074</v>
      </c>
      <c r="G4255" s="1" t="s">
        <v>13522</v>
      </c>
    </row>
    <row r="4256" spans="1:7" x14ac:dyDescent="0.3">
      <c r="A4256" s="1" t="s">
        <v>7</v>
      </c>
      <c r="B4256" s="1" t="s">
        <v>13523</v>
      </c>
      <c r="C4256" s="1" t="s">
        <v>13524</v>
      </c>
      <c r="D4256" s="1" t="s">
        <v>6074</v>
      </c>
      <c r="F4256" s="1" t="s">
        <v>13525</v>
      </c>
      <c r="G4256" s="1" t="s">
        <v>13526</v>
      </c>
    </row>
    <row r="4257" spans="1:7" x14ac:dyDescent="0.3">
      <c r="A4257" s="1" t="s">
        <v>83</v>
      </c>
      <c r="B4257" s="1" t="s">
        <v>13527</v>
      </c>
      <c r="C4257" s="1" t="s">
        <v>13528</v>
      </c>
      <c r="D4257" s="1" t="s">
        <v>6074</v>
      </c>
      <c r="F4257" s="1" t="s">
        <v>13529</v>
      </c>
      <c r="G4257" s="1" t="s">
        <v>13530</v>
      </c>
    </row>
    <row r="4258" spans="1:7" x14ac:dyDescent="0.3">
      <c r="A4258" s="1" t="s">
        <v>36</v>
      </c>
      <c r="B4258" s="1" t="s">
        <v>13531</v>
      </c>
      <c r="C4258" s="1" t="s">
        <v>13532</v>
      </c>
      <c r="D4258" s="1" t="s">
        <v>6074</v>
      </c>
      <c r="G4258" s="1" t="s">
        <v>13533</v>
      </c>
    </row>
    <row r="4259" spans="1:7" x14ac:dyDescent="0.3">
      <c r="A4259" s="1" t="s">
        <v>30</v>
      </c>
      <c r="B4259" s="1" t="s">
        <v>13534</v>
      </c>
      <c r="C4259" s="1" t="s">
        <v>13535</v>
      </c>
      <c r="D4259" s="1" t="s">
        <v>6074</v>
      </c>
      <c r="G4259" s="1" t="s">
        <v>13536</v>
      </c>
    </row>
    <row r="4260" spans="1:7" x14ac:dyDescent="0.3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G4260" s="1" t="s">
        <v>13540</v>
      </c>
    </row>
    <row r="4261" spans="1:7" x14ac:dyDescent="0.3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G4261" s="1" t="s">
        <v>13543</v>
      </c>
    </row>
    <row r="4262" spans="1:7" x14ac:dyDescent="0.3">
      <c r="A4262" s="1" t="s">
        <v>83</v>
      </c>
      <c r="B4262" s="1" t="s">
        <v>13544</v>
      </c>
      <c r="C4262" s="1" t="s">
        <v>13545</v>
      </c>
      <c r="D4262" s="1" t="s">
        <v>6074</v>
      </c>
      <c r="G4262" s="1" t="s">
        <v>13546</v>
      </c>
    </row>
    <row r="4263" spans="1:7" x14ac:dyDescent="0.3">
      <c r="A4263" s="1" t="s">
        <v>36</v>
      </c>
      <c r="B4263" s="1" t="s">
        <v>13547</v>
      </c>
      <c r="D4263" s="1" t="s">
        <v>6074</v>
      </c>
      <c r="E4263" s="1" t="s">
        <v>13548</v>
      </c>
      <c r="G4263" s="1" t="s">
        <v>13549</v>
      </c>
    </row>
    <row r="4264" spans="1:7" x14ac:dyDescent="0.3">
      <c r="A4264" s="1" t="s">
        <v>83</v>
      </c>
      <c r="B4264" s="1" t="s">
        <v>13550</v>
      </c>
      <c r="C4264" s="1" t="s">
        <v>13551</v>
      </c>
      <c r="D4264" s="1" t="s">
        <v>13552</v>
      </c>
      <c r="G4264" s="1" t="s">
        <v>13553</v>
      </c>
    </row>
    <row r="4265" spans="1:7" x14ac:dyDescent="0.3">
      <c r="A4265" s="1" t="s">
        <v>30</v>
      </c>
      <c r="B4265" s="1" t="s">
        <v>13554</v>
      </c>
      <c r="C4265" s="1" t="s">
        <v>13555</v>
      </c>
      <c r="D4265" s="1" t="s">
        <v>13552</v>
      </c>
      <c r="G4265" s="1" t="s">
        <v>13556</v>
      </c>
    </row>
    <row r="4266" spans="1:7" x14ac:dyDescent="0.3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</row>
    <row r="4267" spans="1:7" x14ac:dyDescent="0.3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G4267" s="1" t="s">
        <v>13562</v>
      </c>
    </row>
    <row r="4268" spans="1:7" x14ac:dyDescent="0.3">
      <c r="A4268" s="1" t="s">
        <v>13</v>
      </c>
      <c r="B4268" s="1" t="s">
        <v>13563</v>
      </c>
      <c r="C4268" s="1" t="s">
        <v>13564</v>
      </c>
      <c r="D4268" s="1" t="s">
        <v>13552</v>
      </c>
      <c r="G4268" s="1" t="s">
        <v>13565</v>
      </c>
    </row>
    <row r="4269" spans="1:7" x14ac:dyDescent="0.3">
      <c r="A4269" s="1" t="s">
        <v>30</v>
      </c>
      <c r="B4269" s="1" t="s">
        <v>13566</v>
      </c>
      <c r="C4269" s="1" t="s">
        <v>13567</v>
      </c>
      <c r="D4269" s="1" t="s">
        <v>13552</v>
      </c>
      <c r="F4269" s="1" t="s">
        <v>13568</v>
      </c>
      <c r="G4269" s="1" t="s">
        <v>13569</v>
      </c>
    </row>
    <row r="4270" spans="1:7" x14ac:dyDescent="0.3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G4270" s="1" t="s">
        <v>13565</v>
      </c>
    </row>
    <row r="4271" spans="1:7" x14ac:dyDescent="0.3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 x14ac:dyDescent="0.3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G4272" s="1" t="s">
        <v>13578</v>
      </c>
    </row>
    <row r="4273" spans="1:7" x14ac:dyDescent="0.3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G4273" s="1" t="s">
        <v>13582</v>
      </c>
    </row>
    <row r="4274" spans="1:7" x14ac:dyDescent="0.3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G4274" s="1" t="s">
        <v>13586</v>
      </c>
    </row>
    <row r="4275" spans="1:7" x14ac:dyDescent="0.3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G4275" s="1" t="s">
        <v>13589</v>
      </c>
    </row>
    <row r="4276" spans="1:7" x14ac:dyDescent="0.3">
      <c r="A4276" s="1" t="s">
        <v>13</v>
      </c>
      <c r="B4276" s="1" t="s">
        <v>13590</v>
      </c>
      <c r="C4276" s="1" t="s">
        <v>13591</v>
      </c>
      <c r="D4276" s="1" t="s">
        <v>13552</v>
      </c>
      <c r="G4276" s="1" t="s">
        <v>13592</v>
      </c>
    </row>
    <row r="4277" spans="1:7" x14ac:dyDescent="0.3">
      <c r="A4277" s="1" t="s">
        <v>30</v>
      </c>
      <c r="B4277" s="1" t="s">
        <v>13593</v>
      </c>
      <c r="C4277" s="1" t="s">
        <v>13594</v>
      </c>
      <c r="D4277" s="1" t="s">
        <v>13552</v>
      </c>
      <c r="G4277" s="1" t="s">
        <v>13592</v>
      </c>
    </row>
    <row r="4278" spans="1:7" x14ac:dyDescent="0.3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G4278" s="1" t="s">
        <v>13598</v>
      </c>
    </row>
    <row r="4279" spans="1:7" x14ac:dyDescent="0.3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</row>
    <row r="4280" spans="1:7" x14ac:dyDescent="0.3">
      <c r="A4280" s="1" t="s">
        <v>13</v>
      </c>
      <c r="B4280" s="1" t="s">
        <v>13602</v>
      </c>
      <c r="C4280" s="1" t="s">
        <v>13603</v>
      </c>
      <c r="D4280" s="1" t="s">
        <v>13552</v>
      </c>
    </row>
    <row r="4281" spans="1:7" x14ac:dyDescent="0.3">
      <c r="A4281" s="1" t="s">
        <v>30</v>
      </c>
      <c r="B4281" s="1" t="s">
        <v>13604</v>
      </c>
      <c r="C4281" s="1" t="s">
        <v>13605</v>
      </c>
      <c r="D4281" s="1" t="s">
        <v>13552</v>
      </c>
      <c r="G4281" s="1" t="s">
        <v>13606</v>
      </c>
    </row>
    <row r="4282" spans="1:7" x14ac:dyDescent="0.3">
      <c r="A4282" s="1" t="s">
        <v>30</v>
      </c>
      <c r="B4282" s="1" t="s">
        <v>13607</v>
      </c>
      <c r="C4282" s="1" t="s">
        <v>13608</v>
      </c>
      <c r="D4282" s="1" t="s">
        <v>13552</v>
      </c>
      <c r="F4282" s="1" t="s">
        <v>13609</v>
      </c>
      <c r="G4282" s="1" t="s">
        <v>13610</v>
      </c>
    </row>
    <row r="4283" spans="1:7" x14ac:dyDescent="0.3">
      <c r="A4283" s="1" t="s">
        <v>83</v>
      </c>
      <c r="B4283" s="1" t="s">
        <v>13611</v>
      </c>
      <c r="C4283" s="1" t="s">
        <v>13612</v>
      </c>
      <c r="D4283" s="1" t="s">
        <v>13552</v>
      </c>
      <c r="G4283" s="1" t="s">
        <v>13613</v>
      </c>
    </row>
    <row r="4284" spans="1:7" x14ac:dyDescent="0.3">
      <c r="A4284" s="1" t="s">
        <v>83</v>
      </c>
      <c r="B4284" s="1" t="s">
        <v>13614</v>
      </c>
      <c r="C4284" s="1" t="s">
        <v>13615</v>
      </c>
      <c r="D4284" s="1" t="s">
        <v>13552</v>
      </c>
      <c r="G4284" s="1" t="s">
        <v>13616</v>
      </c>
    </row>
    <row r="4285" spans="1:7" x14ac:dyDescent="0.3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 x14ac:dyDescent="0.3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G4286" s="1" t="s">
        <v>13625</v>
      </c>
    </row>
    <row r="4287" spans="1:7" x14ac:dyDescent="0.3">
      <c r="A4287" s="1" t="s">
        <v>30</v>
      </c>
      <c r="B4287" s="1" t="s">
        <v>13626</v>
      </c>
      <c r="C4287" s="1" t="s">
        <v>13627</v>
      </c>
      <c r="D4287" s="1" t="s">
        <v>13552</v>
      </c>
      <c r="F4287" s="1" t="s">
        <v>13628</v>
      </c>
      <c r="G4287" s="1" t="s">
        <v>13629</v>
      </c>
    </row>
    <row r="4288" spans="1:7" x14ac:dyDescent="0.3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 x14ac:dyDescent="0.3">
      <c r="A4289" s="1" t="s">
        <v>13</v>
      </c>
      <c r="B4289" s="1" t="s">
        <v>13635</v>
      </c>
      <c r="D4289" s="1" t="s">
        <v>13552</v>
      </c>
      <c r="E4289" s="1" t="s">
        <v>13636</v>
      </c>
      <c r="G4289" s="1" t="s">
        <v>13637</v>
      </c>
    </row>
    <row r="4290" spans="1:7" x14ac:dyDescent="0.3">
      <c r="A4290" s="1" t="s">
        <v>83</v>
      </c>
      <c r="B4290" s="1" t="s">
        <v>13638</v>
      </c>
      <c r="C4290" s="1" t="s">
        <v>13639</v>
      </c>
      <c r="D4290" s="1" t="s">
        <v>13552</v>
      </c>
      <c r="G4290" s="1" t="s">
        <v>13640</v>
      </c>
    </row>
    <row r="4291" spans="1:7" x14ac:dyDescent="0.3">
      <c r="A4291" s="1" t="s">
        <v>36</v>
      </c>
      <c r="B4291" s="1" t="s">
        <v>13641</v>
      </c>
      <c r="C4291" s="1" t="s">
        <v>13642</v>
      </c>
      <c r="D4291" s="1" t="s">
        <v>13552</v>
      </c>
      <c r="F4291" s="1" t="s">
        <v>13643</v>
      </c>
      <c r="G4291" s="1" t="s">
        <v>13644</v>
      </c>
    </row>
    <row r="4292" spans="1:7" x14ac:dyDescent="0.3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 x14ac:dyDescent="0.3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 x14ac:dyDescent="0.3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 x14ac:dyDescent="0.3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</row>
    <row r="4296" spans="1:7" x14ac:dyDescent="0.3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 x14ac:dyDescent="0.3">
      <c r="A4297" s="1" t="s">
        <v>89</v>
      </c>
      <c r="B4297" s="1" t="s">
        <v>138</v>
      </c>
      <c r="D4297" s="1" t="s">
        <v>13552</v>
      </c>
      <c r="E4297" s="1" t="s">
        <v>13552</v>
      </c>
    </row>
    <row r="4298" spans="1:7" x14ac:dyDescent="0.3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G4298" s="1" t="s">
        <v>13669</v>
      </c>
    </row>
    <row r="4299" spans="1:7" x14ac:dyDescent="0.3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</row>
    <row r="4300" spans="1:7" x14ac:dyDescent="0.3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 x14ac:dyDescent="0.3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 x14ac:dyDescent="0.3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 x14ac:dyDescent="0.3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 x14ac:dyDescent="0.3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 x14ac:dyDescent="0.3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G4305" s="1" t="s">
        <v>13695</v>
      </c>
    </row>
    <row r="4306" spans="1:7" x14ac:dyDescent="0.3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 x14ac:dyDescent="0.3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 x14ac:dyDescent="0.3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G4308" s="1" t="s">
        <v>13703</v>
      </c>
    </row>
    <row r="4309" spans="1:7" x14ac:dyDescent="0.3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G4309" s="1" t="s">
        <v>13706</v>
      </c>
    </row>
    <row r="4310" spans="1:7" x14ac:dyDescent="0.3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</row>
    <row r="4311" spans="1:7" x14ac:dyDescent="0.3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 x14ac:dyDescent="0.3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G4312" s="1" t="s">
        <v>13715</v>
      </c>
    </row>
    <row r="4313" spans="1:7" x14ac:dyDescent="0.3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 x14ac:dyDescent="0.3">
      <c r="A4314" s="1" t="s">
        <v>36</v>
      </c>
      <c r="B4314" s="1" t="s">
        <v>13720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 x14ac:dyDescent="0.3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 x14ac:dyDescent="0.3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 x14ac:dyDescent="0.3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G4317" s="1" t="s">
        <v>13733</v>
      </c>
    </row>
    <row r="4318" spans="1:7" x14ac:dyDescent="0.3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 x14ac:dyDescent="0.3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 x14ac:dyDescent="0.3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 x14ac:dyDescent="0.3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</row>
    <row r="4322" spans="1:7" x14ac:dyDescent="0.3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</row>
    <row r="4323" spans="1:7" x14ac:dyDescent="0.3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 x14ac:dyDescent="0.3">
      <c r="A4324" s="1" t="s">
        <v>13</v>
      </c>
      <c r="B4324" s="1" t="s">
        <v>13757</v>
      </c>
      <c r="C4324" s="1" t="s">
        <v>13758</v>
      </c>
      <c r="D4324" s="1" t="s">
        <v>13744</v>
      </c>
      <c r="G4324" s="1" t="s">
        <v>13759</v>
      </c>
    </row>
    <row r="4325" spans="1:7" x14ac:dyDescent="0.3">
      <c r="A4325" s="1" t="s">
        <v>83</v>
      </c>
      <c r="B4325" s="1" t="s">
        <v>13760</v>
      </c>
      <c r="D4325" s="1" t="s">
        <v>13761</v>
      </c>
      <c r="F4325" s="1" t="s">
        <v>13762</v>
      </c>
      <c r="G4325" s="1" t="s">
        <v>13763</v>
      </c>
    </row>
    <row r="4326" spans="1:7" x14ac:dyDescent="0.3">
      <c r="A4326" s="1" t="s">
        <v>13</v>
      </c>
      <c r="B4326" s="1" t="s">
        <v>13764</v>
      </c>
      <c r="C4326" s="1" t="s">
        <v>13765</v>
      </c>
      <c r="D4326" s="1" t="s">
        <v>13761</v>
      </c>
      <c r="F4326" s="1" t="s">
        <v>13766</v>
      </c>
      <c r="G4326" s="1" t="s">
        <v>13767</v>
      </c>
    </row>
    <row r="4327" spans="1:7" x14ac:dyDescent="0.3">
      <c r="A4327" s="1" t="s">
        <v>36</v>
      </c>
      <c r="B4327" s="1" t="s">
        <v>13768</v>
      </c>
      <c r="C4327" s="1" t="s">
        <v>13769</v>
      </c>
      <c r="D4327" s="1" t="s">
        <v>13761</v>
      </c>
      <c r="F4327" s="1" t="s">
        <v>13770</v>
      </c>
      <c r="G4327" s="1" t="s">
        <v>13771</v>
      </c>
    </row>
    <row r="4328" spans="1:7" x14ac:dyDescent="0.3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G4328" s="1" t="s">
        <v>13774</v>
      </c>
    </row>
    <row r="4329" spans="1:7" x14ac:dyDescent="0.3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G4329" s="1" t="s">
        <v>13777</v>
      </c>
    </row>
    <row r="4330" spans="1:7" x14ac:dyDescent="0.3">
      <c r="A4330" s="1" t="s">
        <v>89</v>
      </c>
      <c r="B4330" s="1" t="s">
        <v>138</v>
      </c>
      <c r="D4330" s="1" t="s">
        <v>13761</v>
      </c>
    </row>
    <row r="4331" spans="1:7" x14ac:dyDescent="0.3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G4331" s="1" t="s">
        <v>13780</v>
      </c>
    </row>
    <row r="4332" spans="1:7" x14ac:dyDescent="0.3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 x14ac:dyDescent="0.3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G4333" s="1" t="s">
        <v>13787</v>
      </c>
    </row>
    <row r="4334" spans="1:7" x14ac:dyDescent="0.3">
      <c r="A4334" s="1" t="s">
        <v>7</v>
      </c>
      <c r="B4334" s="1" t="s">
        <v>6824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 x14ac:dyDescent="0.3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</row>
    <row r="4336" spans="1:7" x14ac:dyDescent="0.3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</row>
    <row r="4337" spans="1:7" x14ac:dyDescent="0.3">
      <c r="A4337" s="1" t="s">
        <v>13</v>
      </c>
      <c r="B4337" s="1" t="s">
        <v>13793</v>
      </c>
      <c r="C4337" s="1" t="s">
        <v>13794</v>
      </c>
      <c r="D4337" s="1" t="s">
        <v>13761</v>
      </c>
      <c r="G4337" s="1" t="s">
        <v>13795</v>
      </c>
    </row>
    <row r="4338" spans="1:7" x14ac:dyDescent="0.3">
      <c r="A4338" s="1" t="s">
        <v>36</v>
      </c>
      <c r="B4338" s="1" t="s">
        <v>13796</v>
      </c>
      <c r="D4338" s="1" t="s">
        <v>13761</v>
      </c>
      <c r="E4338" s="1" t="s">
        <v>13797</v>
      </c>
      <c r="G4338" s="1" t="s">
        <v>13798</v>
      </c>
    </row>
    <row r="4339" spans="1:7" x14ac:dyDescent="0.3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 x14ac:dyDescent="0.3">
      <c r="A4340" s="1" t="s">
        <v>13</v>
      </c>
      <c r="B4340" s="1" t="s">
        <v>13803</v>
      </c>
      <c r="C4340" s="1" t="s">
        <v>13804</v>
      </c>
      <c r="D4340" s="1" t="s">
        <v>13761</v>
      </c>
      <c r="G4340" s="1" t="s">
        <v>13805</v>
      </c>
    </row>
    <row r="4341" spans="1:7" x14ac:dyDescent="0.3">
      <c r="A4341" s="1" t="s">
        <v>13</v>
      </c>
      <c r="B4341" s="1" t="s">
        <v>13806</v>
      </c>
      <c r="C4341" s="1" t="s">
        <v>13807</v>
      </c>
      <c r="D4341" s="1" t="s">
        <v>13761</v>
      </c>
      <c r="F4341" s="1" t="s">
        <v>13808</v>
      </c>
      <c r="G4341" s="1" t="s">
        <v>13809</v>
      </c>
    </row>
    <row r="4342" spans="1:7" x14ac:dyDescent="0.3">
      <c r="A4342" s="1" t="s">
        <v>83</v>
      </c>
      <c r="B4342" s="1" t="s">
        <v>13810</v>
      </c>
      <c r="C4342" s="1" t="s">
        <v>13811</v>
      </c>
      <c r="D4342" s="1" t="s">
        <v>13761</v>
      </c>
      <c r="G4342" s="1" t="s">
        <v>13812</v>
      </c>
    </row>
    <row r="4343" spans="1:7" x14ac:dyDescent="0.3">
      <c r="A4343" s="1" t="s">
        <v>30</v>
      </c>
      <c r="B4343" s="1" t="s">
        <v>13813</v>
      </c>
      <c r="C4343" s="1" t="s">
        <v>13814</v>
      </c>
      <c r="D4343" s="1" t="s">
        <v>13761</v>
      </c>
    </row>
    <row r="4344" spans="1:7" x14ac:dyDescent="0.3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 x14ac:dyDescent="0.3">
      <c r="A4345" s="1" t="s">
        <v>30</v>
      </c>
      <c r="B4345" s="1" t="s">
        <v>13820</v>
      </c>
      <c r="C4345" s="1" t="s">
        <v>13821</v>
      </c>
      <c r="D4345" s="1" t="s">
        <v>13761</v>
      </c>
      <c r="F4345" s="1" t="s">
        <v>13808</v>
      </c>
      <c r="G4345" s="1" t="s">
        <v>13809</v>
      </c>
    </row>
    <row r="4346" spans="1:7" x14ac:dyDescent="0.3">
      <c r="A4346" s="1" t="s">
        <v>30</v>
      </c>
      <c r="B4346" s="1" t="s">
        <v>11805</v>
      </c>
      <c r="C4346" s="1" t="s">
        <v>13822</v>
      </c>
      <c r="D4346" s="1" t="s">
        <v>13761</v>
      </c>
      <c r="G4346" s="1" t="s">
        <v>13823</v>
      </c>
    </row>
    <row r="4347" spans="1:7" x14ac:dyDescent="0.3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 x14ac:dyDescent="0.3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G4348" s="1" t="s">
        <v>13830</v>
      </c>
    </row>
    <row r="4349" spans="1:7" x14ac:dyDescent="0.3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 x14ac:dyDescent="0.3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 x14ac:dyDescent="0.3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 x14ac:dyDescent="0.3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 x14ac:dyDescent="0.3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 x14ac:dyDescent="0.3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 x14ac:dyDescent="0.3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 x14ac:dyDescent="0.3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 x14ac:dyDescent="0.3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 x14ac:dyDescent="0.3">
      <c r="A4358" s="1" t="s">
        <v>21</v>
      </c>
      <c r="B4358" s="1" t="s">
        <v>13866</v>
      </c>
      <c r="D4358" s="1" t="s">
        <v>13761</v>
      </c>
      <c r="E4358" s="1" t="s">
        <v>13761</v>
      </c>
    </row>
    <row r="4359" spans="1:7" x14ac:dyDescent="0.3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 x14ac:dyDescent="0.3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 x14ac:dyDescent="0.3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 x14ac:dyDescent="0.3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</row>
    <row r="4363" spans="1:7" x14ac:dyDescent="0.3">
      <c r="A4363" s="1" t="s">
        <v>21</v>
      </c>
      <c r="B4363" s="1" t="s">
        <v>13877</v>
      </c>
      <c r="C4363" s="1" t="s">
        <v>13878</v>
      </c>
      <c r="D4363" s="1" t="s">
        <v>13761</v>
      </c>
      <c r="F4363" s="1" t="s">
        <v>13879</v>
      </c>
      <c r="G4363" s="1" t="s">
        <v>13880</v>
      </c>
    </row>
    <row r="4364" spans="1:7" x14ac:dyDescent="0.3">
      <c r="A4364" s="1" t="s">
        <v>30</v>
      </c>
      <c r="B4364" s="1" t="s">
        <v>13881</v>
      </c>
      <c r="C4364" s="1" t="s">
        <v>13882</v>
      </c>
      <c r="D4364" s="1" t="s">
        <v>13761</v>
      </c>
      <c r="G4364" s="1" t="s">
        <v>13883</v>
      </c>
    </row>
    <row r="4365" spans="1:7" x14ac:dyDescent="0.3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 x14ac:dyDescent="0.3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G4366" s="1" t="s">
        <v>13891</v>
      </c>
    </row>
    <row r="4367" spans="1:7" x14ac:dyDescent="0.3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G4367" s="1" t="s">
        <v>13891</v>
      </c>
    </row>
    <row r="4368" spans="1:7" x14ac:dyDescent="0.3">
      <c r="A4368" s="1" t="s">
        <v>30</v>
      </c>
      <c r="B4368" s="1" t="s">
        <v>13893</v>
      </c>
      <c r="C4368" s="1" t="s">
        <v>13894</v>
      </c>
      <c r="D4368" s="1" t="s">
        <v>13886</v>
      </c>
      <c r="G4368" s="1" t="s">
        <v>13895</v>
      </c>
    </row>
    <row r="4369" spans="1:7" x14ac:dyDescent="0.3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G4369" s="1" t="s">
        <v>12257</v>
      </c>
    </row>
    <row r="4370" spans="1:7" x14ac:dyDescent="0.3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 x14ac:dyDescent="0.3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 x14ac:dyDescent="0.3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 x14ac:dyDescent="0.3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G4373" s="1" t="s">
        <v>13912</v>
      </c>
    </row>
    <row r="4374" spans="1:7" x14ac:dyDescent="0.3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G4374" s="1" t="s">
        <v>13915</v>
      </c>
    </row>
    <row r="4375" spans="1:7" x14ac:dyDescent="0.3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 x14ac:dyDescent="0.3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 x14ac:dyDescent="0.3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G4377" s="1" t="s">
        <v>13926</v>
      </c>
    </row>
    <row r="4378" spans="1:7" x14ac:dyDescent="0.3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G4378" s="1" t="s">
        <v>13929</v>
      </c>
    </row>
    <row r="4379" spans="1:7" x14ac:dyDescent="0.3">
      <c r="A4379" s="1" t="s">
        <v>13</v>
      </c>
      <c r="B4379" s="1" t="s">
        <v>13930</v>
      </c>
      <c r="C4379" s="1" t="s">
        <v>13931</v>
      </c>
      <c r="D4379" s="1" t="s">
        <v>13899</v>
      </c>
      <c r="G4379" s="1" t="s">
        <v>13932</v>
      </c>
    </row>
    <row r="4380" spans="1:7" x14ac:dyDescent="0.3">
      <c r="A4380" s="1" t="s">
        <v>30</v>
      </c>
      <c r="B4380" s="1" t="s">
        <v>13933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 x14ac:dyDescent="0.3">
      <c r="A4381" s="1" t="s">
        <v>30</v>
      </c>
      <c r="B4381" s="1" t="s">
        <v>13938</v>
      </c>
      <c r="D4381" s="1" t="s">
        <v>13934</v>
      </c>
      <c r="E4381" s="1" t="s">
        <v>13939</v>
      </c>
      <c r="G4381" s="1" t="s">
        <v>13940</v>
      </c>
    </row>
    <row r="4382" spans="1:7" x14ac:dyDescent="0.3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 x14ac:dyDescent="0.3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 x14ac:dyDescent="0.3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 x14ac:dyDescent="0.3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 x14ac:dyDescent="0.3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 x14ac:dyDescent="0.3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</row>
    <row r="4388" spans="1:7" x14ac:dyDescent="0.3">
      <c r="A4388" s="1" t="s">
        <v>30</v>
      </c>
      <c r="B4388" s="1" t="s">
        <v>13964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 x14ac:dyDescent="0.3">
      <c r="A4389" s="1" t="s">
        <v>89</v>
      </c>
      <c r="B4389" s="1" t="s">
        <v>138</v>
      </c>
      <c r="D4389" s="1" t="s">
        <v>13951</v>
      </c>
    </row>
    <row r="4390" spans="1:7" x14ac:dyDescent="0.3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</row>
    <row r="4391" spans="1:7" x14ac:dyDescent="0.3">
      <c r="A4391" s="1" t="s">
        <v>36</v>
      </c>
      <c r="B4391" s="1" t="s">
        <v>13969</v>
      </c>
      <c r="D4391" s="1" t="s">
        <v>13951</v>
      </c>
      <c r="E4391" s="1" t="s">
        <v>13951</v>
      </c>
    </row>
    <row r="4392" spans="1:7" x14ac:dyDescent="0.3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G4392" s="1" t="s">
        <v>13972</v>
      </c>
    </row>
    <row r="4393" spans="1:7" x14ac:dyDescent="0.3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G4393" s="1" t="s">
        <v>13972</v>
      </c>
    </row>
    <row r="4394" spans="1:7" x14ac:dyDescent="0.3">
      <c r="A4394" s="1" t="s">
        <v>30</v>
      </c>
      <c r="B4394" s="1" t="s">
        <v>13975</v>
      </c>
      <c r="C4394" s="1" t="s">
        <v>13976</v>
      </c>
      <c r="D4394" s="1" t="s">
        <v>13951</v>
      </c>
      <c r="G4394" s="1" t="s">
        <v>13977</v>
      </c>
    </row>
    <row r="4395" spans="1:7" x14ac:dyDescent="0.3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 x14ac:dyDescent="0.3">
      <c r="A4396" s="1" t="s">
        <v>83</v>
      </c>
      <c r="B4396" s="1" t="s">
        <v>13982</v>
      </c>
      <c r="C4396" s="1" t="s">
        <v>13959</v>
      </c>
      <c r="D4396" s="1" t="s">
        <v>13951</v>
      </c>
      <c r="G4396" s="1" t="s">
        <v>13961</v>
      </c>
    </row>
    <row r="4397" spans="1:7" x14ac:dyDescent="0.3">
      <c r="A4397" s="1" t="s">
        <v>83</v>
      </c>
      <c r="B4397" s="1" t="s">
        <v>13983</v>
      </c>
      <c r="C4397" s="1" t="s">
        <v>13984</v>
      </c>
      <c r="D4397" s="1" t="s">
        <v>13951</v>
      </c>
      <c r="F4397" s="1" t="s">
        <v>13985</v>
      </c>
      <c r="G4397" s="1" t="s">
        <v>13986</v>
      </c>
    </row>
    <row r="4398" spans="1:7" x14ac:dyDescent="0.3">
      <c r="A4398" s="1" t="s">
        <v>83</v>
      </c>
      <c r="B4398" s="1" t="s">
        <v>13987</v>
      </c>
      <c r="C4398" s="1" t="s">
        <v>13988</v>
      </c>
      <c r="D4398" s="1" t="s">
        <v>13951</v>
      </c>
      <c r="G4398" s="1" t="s">
        <v>13989</v>
      </c>
    </row>
    <row r="4399" spans="1:7" x14ac:dyDescent="0.3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 x14ac:dyDescent="0.3">
      <c r="A4400" s="1" t="s">
        <v>7</v>
      </c>
      <c r="B4400" s="1" t="s">
        <v>13994</v>
      </c>
      <c r="C4400" s="1" t="s">
        <v>13995</v>
      </c>
      <c r="D4400" s="1" t="s">
        <v>13951</v>
      </c>
      <c r="G4400" s="1" t="s">
        <v>13996</v>
      </c>
    </row>
    <row r="4401" spans="1:7" x14ac:dyDescent="0.3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 x14ac:dyDescent="0.3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 x14ac:dyDescent="0.3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 x14ac:dyDescent="0.3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 x14ac:dyDescent="0.3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 x14ac:dyDescent="0.3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 x14ac:dyDescent="0.3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 x14ac:dyDescent="0.3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 x14ac:dyDescent="0.3">
      <c r="A4409" s="1" t="s">
        <v>36</v>
      </c>
      <c r="B4409" s="1" t="s">
        <v>14029</v>
      </c>
      <c r="D4409" s="1" t="s">
        <v>13951</v>
      </c>
    </row>
    <row r="4410" spans="1:7" x14ac:dyDescent="0.3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G4410" s="1" t="s">
        <v>14032</v>
      </c>
    </row>
    <row r="4411" spans="1:7" x14ac:dyDescent="0.3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 x14ac:dyDescent="0.3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 x14ac:dyDescent="0.3">
      <c r="A4413" s="1" t="s">
        <v>30</v>
      </c>
      <c r="B4413" s="1" t="s">
        <v>14041</v>
      </c>
      <c r="C4413" s="1" t="s">
        <v>14042</v>
      </c>
      <c r="D4413" s="1" t="s">
        <v>13951</v>
      </c>
      <c r="G4413" s="1" t="s">
        <v>14043</v>
      </c>
    </row>
    <row r="4414" spans="1:7" x14ac:dyDescent="0.3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 x14ac:dyDescent="0.3">
      <c r="A4415" s="1" t="s">
        <v>30</v>
      </c>
      <c r="B4415" s="1" t="s">
        <v>14049</v>
      </c>
      <c r="C4415" s="1" t="s">
        <v>14050</v>
      </c>
      <c r="D4415" s="1" t="s">
        <v>13951</v>
      </c>
      <c r="G4415" s="1" t="s">
        <v>14051</v>
      </c>
    </row>
    <row r="4416" spans="1:7" x14ac:dyDescent="0.3">
      <c r="A4416" s="1" t="s">
        <v>30</v>
      </c>
      <c r="B4416" s="1" t="s">
        <v>14052</v>
      </c>
      <c r="C4416" s="1" t="s">
        <v>14053</v>
      </c>
      <c r="D4416" s="1" t="s">
        <v>13951</v>
      </c>
      <c r="G4416" s="1" t="s">
        <v>14054</v>
      </c>
    </row>
    <row r="4417" spans="1:7" x14ac:dyDescent="0.3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 x14ac:dyDescent="0.3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G4418" s="1" t="s">
        <v>14061</v>
      </c>
    </row>
    <row r="4419" spans="1:7" x14ac:dyDescent="0.3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G4419" s="1" t="s">
        <v>14064</v>
      </c>
    </row>
    <row r="4420" spans="1:7" x14ac:dyDescent="0.3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G4420" s="1" t="s">
        <v>14067</v>
      </c>
    </row>
    <row r="4421" spans="1:7" x14ac:dyDescent="0.3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G4421" s="1" t="s">
        <v>14072</v>
      </c>
    </row>
    <row r="4422" spans="1:7" x14ac:dyDescent="0.3">
      <c r="A4422" s="1" t="s">
        <v>30</v>
      </c>
      <c r="B4422" s="1" t="s">
        <v>14073</v>
      </c>
      <c r="C4422" s="1" t="s">
        <v>14074</v>
      </c>
      <c r="D4422" s="1" t="s">
        <v>14070</v>
      </c>
      <c r="G4422" s="1" t="s">
        <v>14075</v>
      </c>
    </row>
    <row r="4423" spans="1:7" x14ac:dyDescent="0.3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</row>
    <row r="4424" spans="1:7" x14ac:dyDescent="0.3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 x14ac:dyDescent="0.3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 x14ac:dyDescent="0.3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 x14ac:dyDescent="0.3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 x14ac:dyDescent="0.3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</row>
    <row r="4429" spans="1:7" x14ac:dyDescent="0.3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</row>
    <row r="4430" spans="1:7" x14ac:dyDescent="0.3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 x14ac:dyDescent="0.3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</row>
    <row r="4432" spans="1:7" x14ac:dyDescent="0.3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 x14ac:dyDescent="0.3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</row>
    <row r="4434" spans="1:7" x14ac:dyDescent="0.3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G4434" s="1" t="s">
        <v>14113</v>
      </c>
    </row>
    <row r="4435" spans="1:7" x14ac:dyDescent="0.3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</row>
    <row r="4436" spans="1:7" x14ac:dyDescent="0.3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 x14ac:dyDescent="0.3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 x14ac:dyDescent="0.3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 x14ac:dyDescent="0.3">
      <c r="A4439" s="1" t="s">
        <v>30</v>
      </c>
      <c r="B4439" s="1" t="s">
        <v>14129</v>
      </c>
      <c r="C4439" s="1" t="s">
        <v>14130</v>
      </c>
      <c r="D4439" s="1" t="s">
        <v>14070</v>
      </c>
      <c r="F4439" s="1" t="s">
        <v>14131</v>
      </c>
      <c r="G4439" s="1" t="s">
        <v>14132</v>
      </c>
    </row>
    <row r="4440" spans="1:7" x14ac:dyDescent="0.3">
      <c r="A4440" s="1" t="s">
        <v>30</v>
      </c>
      <c r="B4440" s="1" t="s">
        <v>14133</v>
      </c>
      <c r="C4440" s="1" t="s">
        <v>14134</v>
      </c>
      <c r="D4440" s="1" t="s">
        <v>14070</v>
      </c>
      <c r="F4440" s="1" t="s">
        <v>11849</v>
      </c>
      <c r="G4440" s="1" t="s">
        <v>14135</v>
      </c>
    </row>
    <row r="4441" spans="1:7" x14ac:dyDescent="0.3">
      <c r="A4441" s="1" t="s">
        <v>83</v>
      </c>
      <c r="B4441" s="1" t="s">
        <v>14136</v>
      </c>
      <c r="C4441" s="1" t="s">
        <v>14137</v>
      </c>
      <c r="D4441" s="1" t="s">
        <v>14070</v>
      </c>
    </row>
    <row r="4442" spans="1:7" x14ac:dyDescent="0.3">
      <c r="A4442" s="1" t="s">
        <v>21</v>
      </c>
      <c r="B4442" s="1" t="s">
        <v>14138</v>
      </c>
      <c r="C4442" s="1" t="s">
        <v>14139</v>
      </c>
      <c r="D4442" s="1" t="s">
        <v>14070</v>
      </c>
      <c r="F4442" s="1" t="s">
        <v>14140</v>
      </c>
      <c r="G4442" s="1" t="s">
        <v>14141</v>
      </c>
    </row>
    <row r="4443" spans="1:7" x14ac:dyDescent="0.3">
      <c r="A4443" s="1" t="s">
        <v>13</v>
      </c>
      <c r="B4443" s="1" t="s">
        <v>14142</v>
      </c>
      <c r="C4443" s="1" t="s">
        <v>14143</v>
      </c>
      <c r="D4443" s="1" t="s">
        <v>14070</v>
      </c>
      <c r="G4443" s="1" t="s">
        <v>14144</v>
      </c>
    </row>
    <row r="4444" spans="1:7" x14ac:dyDescent="0.3">
      <c r="A4444" s="1" t="s">
        <v>187</v>
      </c>
      <c r="B4444" s="1" t="s">
        <v>305</v>
      </c>
      <c r="C4444" s="1" t="s">
        <v>14145</v>
      </c>
      <c r="D4444" s="1" t="s">
        <v>14070</v>
      </c>
      <c r="F4444" s="1" t="s">
        <v>14140</v>
      </c>
      <c r="G4444" s="1" t="s">
        <v>14141</v>
      </c>
    </row>
    <row r="4445" spans="1:7" x14ac:dyDescent="0.3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 x14ac:dyDescent="0.3">
      <c r="A4446" s="1" t="s">
        <v>36</v>
      </c>
      <c r="B4446" s="1" t="s">
        <v>14151</v>
      </c>
      <c r="C4446" s="1" t="s">
        <v>14152</v>
      </c>
      <c r="D4446" s="1" t="s">
        <v>14070</v>
      </c>
      <c r="G4446" s="1" t="s">
        <v>14090</v>
      </c>
    </row>
    <row r="4447" spans="1:7" x14ac:dyDescent="0.3">
      <c r="A4447" s="1" t="s">
        <v>36</v>
      </c>
      <c r="B4447" s="1" t="s">
        <v>14153</v>
      </c>
      <c r="C4447" s="1" t="s">
        <v>14154</v>
      </c>
      <c r="D4447" s="1" t="s">
        <v>14070</v>
      </c>
      <c r="G4447" s="1" t="s">
        <v>14155</v>
      </c>
    </row>
    <row r="4448" spans="1:7" x14ac:dyDescent="0.3">
      <c r="A4448" s="1" t="s">
        <v>36</v>
      </c>
      <c r="B4448" s="1" t="s">
        <v>14156</v>
      </c>
      <c r="C4448" s="1" t="s">
        <v>14157</v>
      </c>
      <c r="D4448" s="1" t="s">
        <v>14070</v>
      </c>
      <c r="G4448" s="1" t="s">
        <v>14158</v>
      </c>
    </row>
    <row r="4449" spans="1:7" x14ac:dyDescent="0.3">
      <c r="A4449" s="1" t="s">
        <v>30</v>
      </c>
      <c r="B4449" s="1" t="s">
        <v>14159</v>
      </c>
      <c r="C4449" s="1" t="s">
        <v>14160</v>
      </c>
      <c r="D4449" s="1" t="s">
        <v>14070</v>
      </c>
      <c r="G4449" s="1" t="s">
        <v>14161</v>
      </c>
    </row>
    <row r="4450" spans="1:7" x14ac:dyDescent="0.3">
      <c r="A4450" s="1" t="s">
        <v>13</v>
      </c>
      <c r="B4450" s="1" t="s">
        <v>14162</v>
      </c>
      <c r="C4450" s="1" t="s">
        <v>14163</v>
      </c>
      <c r="D4450" s="1" t="s">
        <v>14070</v>
      </c>
      <c r="G4450" s="1" t="s">
        <v>14164</v>
      </c>
    </row>
    <row r="4451" spans="1:7" x14ac:dyDescent="0.3">
      <c r="A4451" s="1" t="s">
        <v>13</v>
      </c>
      <c r="B4451" s="1" t="s">
        <v>14165</v>
      </c>
      <c r="C4451" s="1" t="s">
        <v>14166</v>
      </c>
      <c r="D4451" s="1" t="s">
        <v>14070</v>
      </c>
      <c r="G4451" s="1" t="s">
        <v>14167</v>
      </c>
    </row>
    <row r="4452" spans="1:7" x14ac:dyDescent="0.3">
      <c r="A4452" s="1" t="s">
        <v>13</v>
      </c>
      <c r="B4452" s="1" t="s">
        <v>14168</v>
      </c>
      <c r="C4452" s="1" t="s">
        <v>14169</v>
      </c>
      <c r="D4452" s="1" t="s">
        <v>14070</v>
      </c>
      <c r="G4452" s="1" t="s">
        <v>14170</v>
      </c>
    </row>
    <row r="4453" spans="1:7" x14ac:dyDescent="0.3">
      <c r="A4453" s="1" t="s">
        <v>30</v>
      </c>
      <c r="B4453" s="1" t="s">
        <v>14171</v>
      </c>
      <c r="C4453" s="1" t="s">
        <v>14172</v>
      </c>
      <c r="D4453" s="1" t="s">
        <v>14070</v>
      </c>
      <c r="F4453" s="1" t="s">
        <v>14173</v>
      </c>
      <c r="G4453" s="1" t="s">
        <v>14174</v>
      </c>
    </row>
    <row r="4454" spans="1:7" x14ac:dyDescent="0.3">
      <c r="A4454" s="1" t="s">
        <v>89</v>
      </c>
      <c r="B4454" s="1" t="s">
        <v>138</v>
      </c>
      <c r="D4454" s="1" t="s">
        <v>14070</v>
      </c>
      <c r="E4454" s="1" t="s">
        <v>14175</v>
      </c>
    </row>
    <row r="4455" spans="1:7" x14ac:dyDescent="0.3">
      <c r="A4455" s="1" t="s">
        <v>30</v>
      </c>
      <c r="B4455" s="1" t="s">
        <v>14176</v>
      </c>
      <c r="C4455" s="1" t="s">
        <v>14177</v>
      </c>
      <c r="D4455" s="1" t="s">
        <v>14070</v>
      </c>
      <c r="G4455" s="1" t="s">
        <v>14178</v>
      </c>
    </row>
    <row r="4456" spans="1:7" x14ac:dyDescent="0.3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G4456" s="1" t="s">
        <v>14181</v>
      </c>
    </row>
    <row r="4457" spans="1:7" x14ac:dyDescent="0.3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G4457" s="1" t="s">
        <v>14184</v>
      </c>
    </row>
    <row r="4458" spans="1:7" x14ac:dyDescent="0.3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G4458" s="1" t="s">
        <v>14187</v>
      </c>
    </row>
    <row r="4459" spans="1:7" x14ac:dyDescent="0.3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</row>
    <row r="4460" spans="1:7" x14ac:dyDescent="0.3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 x14ac:dyDescent="0.3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 x14ac:dyDescent="0.3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</row>
    <row r="4463" spans="1:7" x14ac:dyDescent="0.3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G4463" s="1" t="s">
        <v>14202</v>
      </c>
    </row>
    <row r="4464" spans="1:7" x14ac:dyDescent="0.3">
      <c r="A4464" s="1" t="s">
        <v>13</v>
      </c>
      <c r="B4464" s="1" t="s">
        <v>14203</v>
      </c>
      <c r="C4464" s="1" t="s">
        <v>14204</v>
      </c>
      <c r="D4464" s="1" t="s">
        <v>14200</v>
      </c>
      <c r="G4464" s="1" t="s">
        <v>14205</v>
      </c>
    </row>
    <row r="4465" spans="1:7" x14ac:dyDescent="0.3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</row>
    <row r="4466" spans="1:7" x14ac:dyDescent="0.3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 x14ac:dyDescent="0.3">
      <c r="A4467" s="1" t="s">
        <v>30</v>
      </c>
      <c r="B4467" s="1" t="s">
        <v>14212</v>
      </c>
      <c r="C4467" s="1" t="s">
        <v>14213</v>
      </c>
      <c r="D4467" s="1" t="s">
        <v>14200</v>
      </c>
      <c r="F4467" s="1" t="s">
        <v>14214</v>
      </c>
      <c r="G4467" s="1" t="s">
        <v>14215</v>
      </c>
    </row>
    <row r="4468" spans="1:7" x14ac:dyDescent="0.3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G4468" s="1" t="s">
        <v>14220</v>
      </c>
    </row>
    <row r="4469" spans="1:7" x14ac:dyDescent="0.3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</row>
    <row r="4470" spans="1:7" x14ac:dyDescent="0.3">
      <c r="A4470" s="1" t="s">
        <v>301</v>
      </c>
      <c r="B4470" s="1" t="s">
        <v>14224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 x14ac:dyDescent="0.3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G4471" s="1" t="s">
        <v>14231</v>
      </c>
    </row>
    <row r="4472" spans="1:7" x14ac:dyDescent="0.3">
      <c r="A4472" s="1" t="s">
        <v>30</v>
      </c>
      <c r="B4472" s="1" t="s">
        <v>14232</v>
      </c>
      <c r="D4472" s="1" t="s">
        <v>14218</v>
      </c>
      <c r="G4472" s="1" t="s">
        <v>14233</v>
      </c>
    </row>
    <row r="4473" spans="1:7" x14ac:dyDescent="0.3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G4473" s="1" t="s">
        <v>14237</v>
      </c>
    </row>
    <row r="4474" spans="1:7" x14ac:dyDescent="0.3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G4474" s="1" t="s">
        <v>14240</v>
      </c>
    </row>
    <row r="4475" spans="1:7" x14ac:dyDescent="0.3">
      <c r="A4475" s="1" t="s">
        <v>21</v>
      </c>
      <c r="B4475" s="1" t="s">
        <v>14241</v>
      </c>
      <c r="D4475" s="1" t="s">
        <v>14218</v>
      </c>
      <c r="E4475" s="1" t="s">
        <v>14218</v>
      </c>
      <c r="G4475" s="1" t="s">
        <v>14242</v>
      </c>
    </row>
    <row r="4476" spans="1:7" x14ac:dyDescent="0.3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 x14ac:dyDescent="0.3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 x14ac:dyDescent="0.3">
      <c r="A4478" s="1" t="s">
        <v>21</v>
      </c>
      <c r="B4478" s="1" t="s">
        <v>14251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 x14ac:dyDescent="0.3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 x14ac:dyDescent="0.3">
      <c r="A4480" s="1" t="s">
        <v>187</v>
      </c>
      <c r="B4480" s="1" t="s">
        <v>14259</v>
      </c>
      <c r="D4480" s="1" t="s">
        <v>14218</v>
      </c>
      <c r="E4480" s="1" t="s">
        <v>14260</v>
      </c>
    </row>
    <row r="4481" spans="1:7" x14ac:dyDescent="0.3">
      <c r="A4481" s="1" t="s">
        <v>191</v>
      </c>
      <c r="B4481" s="1" t="s">
        <v>14261</v>
      </c>
      <c r="D4481" s="1" t="s">
        <v>14218</v>
      </c>
      <c r="E4481" s="1" t="s">
        <v>14262</v>
      </c>
      <c r="G4481" s="1" t="s">
        <v>14263</v>
      </c>
    </row>
    <row r="4482" spans="1:7" x14ac:dyDescent="0.3">
      <c r="A4482" s="1" t="s">
        <v>30</v>
      </c>
      <c r="B4482" s="1" t="s">
        <v>14264</v>
      </c>
      <c r="C4482" s="1" t="s">
        <v>14265</v>
      </c>
      <c r="D4482" s="1" t="s">
        <v>14218</v>
      </c>
      <c r="F4482" s="1" t="s">
        <v>14266</v>
      </c>
      <c r="G4482" s="1" t="s">
        <v>14267</v>
      </c>
    </row>
    <row r="4483" spans="1:7" x14ac:dyDescent="0.3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G4483" s="1" t="s">
        <v>14270</v>
      </c>
    </row>
    <row r="4484" spans="1:7" x14ac:dyDescent="0.3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G4484" s="1" t="s">
        <v>14274</v>
      </c>
    </row>
    <row r="4485" spans="1:7" x14ac:dyDescent="0.3">
      <c r="A4485" s="1" t="s">
        <v>83</v>
      </c>
      <c r="B4485" s="1" t="s">
        <v>14275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 x14ac:dyDescent="0.3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 x14ac:dyDescent="0.3">
      <c r="A4487" s="1" t="s">
        <v>89</v>
      </c>
      <c r="B4487" s="1" t="s">
        <v>138</v>
      </c>
      <c r="D4487" s="1" t="s">
        <v>14281</v>
      </c>
    </row>
    <row r="4488" spans="1:7" x14ac:dyDescent="0.3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 x14ac:dyDescent="0.3">
      <c r="A4489" s="1" t="s">
        <v>30</v>
      </c>
      <c r="B4489" s="1" t="s">
        <v>14286</v>
      </c>
      <c r="C4489" s="1" t="s">
        <v>14287</v>
      </c>
      <c r="D4489" s="1" t="s">
        <v>14281</v>
      </c>
      <c r="F4489" s="1" t="s">
        <v>14288</v>
      </c>
      <c r="G4489" s="1" t="s">
        <v>14289</v>
      </c>
    </row>
    <row r="4490" spans="1:7" x14ac:dyDescent="0.3">
      <c r="A4490" s="1" t="s">
        <v>30</v>
      </c>
      <c r="B4490" s="1" t="s">
        <v>14290</v>
      </c>
      <c r="C4490" s="1" t="s">
        <v>14291</v>
      </c>
      <c r="D4490" s="1" t="s">
        <v>14281</v>
      </c>
      <c r="G4490" s="1" t="s">
        <v>14292</v>
      </c>
    </row>
    <row r="4491" spans="1:7" x14ac:dyDescent="0.3">
      <c r="A4491" s="1" t="s">
        <v>30</v>
      </c>
      <c r="B4491" s="1" t="s">
        <v>14293</v>
      </c>
      <c r="C4491" s="1" t="s">
        <v>14294</v>
      </c>
      <c r="D4491" s="1" t="s">
        <v>14281</v>
      </c>
      <c r="G4491" s="1" t="s">
        <v>14295</v>
      </c>
    </row>
    <row r="4492" spans="1:7" x14ac:dyDescent="0.3">
      <c r="A4492" s="1" t="s">
        <v>30</v>
      </c>
      <c r="B4492" s="1" t="s">
        <v>195</v>
      </c>
      <c r="C4492" s="1" t="s">
        <v>14296</v>
      </c>
      <c r="D4492" s="1" t="s">
        <v>14281</v>
      </c>
      <c r="G4492" s="1" t="s">
        <v>14297</v>
      </c>
    </row>
    <row r="4493" spans="1:7" x14ac:dyDescent="0.3">
      <c r="A4493" s="1" t="s">
        <v>30</v>
      </c>
      <c r="B4493" s="1" t="s">
        <v>14298</v>
      </c>
      <c r="C4493" s="1" t="s">
        <v>14299</v>
      </c>
      <c r="D4493" s="1" t="s">
        <v>14281</v>
      </c>
      <c r="F4493" s="1" t="s">
        <v>14300</v>
      </c>
      <c r="G4493" s="1" t="s">
        <v>14301</v>
      </c>
    </row>
    <row r="4494" spans="1:7" x14ac:dyDescent="0.3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 x14ac:dyDescent="0.3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 x14ac:dyDescent="0.3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 x14ac:dyDescent="0.3">
      <c r="A4497" s="1" t="s">
        <v>191</v>
      </c>
      <c r="B4497" s="1" t="s">
        <v>14315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 x14ac:dyDescent="0.3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G4498" s="1" t="s">
        <v>14319</v>
      </c>
    </row>
    <row r="4499" spans="1:7" x14ac:dyDescent="0.3">
      <c r="A4499" s="1" t="s">
        <v>30</v>
      </c>
      <c r="B4499" s="1" t="s">
        <v>14320</v>
      </c>
      <c r="C4499" s="1" t="s">
        <v>14321</v>
      </c>
      <c r="D4499" s="1" t="s">
        <v>14281</v>
      </c>
      <c r="G4499" s="1" t="s">
        <v>14322</v>
      </c>
    </row>
    <row r="4500" spans="1:7" x14ac:dyDescent="0.3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G4500" s="1" t="s">
        <v>14319</v>
      </c>
    </row>
    <row r="4501" spans="1:7" x14ac:dyDescent="0.3">
      <c r="A4501" s="1" t="s">
        <v>30</v>
      </c>
      <c r="B4501" s="1" t="s">
        <v>2636</v>
      </c>
      <c r="C4501" s="1" t="s">
        <v>14325</v>
      </c>
      <c r="D4501" s="1" t="s">
        <v>14281</v>
      </c>
      <c r="G4501" s="1" t="s">
        <v>14326</v>
      </c>
    </row>
    <row r="4502" spans="1:7" x14ac:dyDescent="0.3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</row>
    <row r="4503" spans="1:7" x14ac:dyDescent="0.3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</row>
    <row r="4504" spans="1:7" x14ac:dyDescent="0.3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</row>
    <row r="4505" spans="1:7" x14ac:dyDescent="0.3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</row>
    <row r="4506" spans="1:7" x14ac:dyDescent="0.3">
      <c r="A4506" s="1" t="s">
        <v>30</v>
      </c>
      <c r="B4506" s="1" t="s">
        <v>14336</v>
      </c>
      <c r="D4506" s="1" t="s">
        <v>14281</v>
      </c>
    </row>
    <row r="4507" spans="1:7" x14ac:dyDescent="0.3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G4507" s="1" t="s">
        <v>14340</v>
      </c>
    </row>
    <row r="4508" spans="1:7" x14ac:dyDescent="0.3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</row>
    <row r="4509" spans="1:7" x14ac:dyDescent="0.3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G4509" s="1" t="s">
        <v>14346</v>
      </c>
    </row>
    <row r="4510" spans="1:7" x14ac:dyDescent="0.3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 x14ac:dyDescent="0.3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 x14ac:dyDescent="0.3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 x14ac:dyDescent="0.3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 x14ac:dyDescent="0.3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G4514" s="1" t="s">
        <v>14365</v>
      </c>
    </row>
    <row r="4515" spans="1:7" x14ac:dyDescent="0.3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 x14ac:dyDescent="0.3">
      <c r="A4516" s="1" t="s">
        <v>30</v>
      </c>
      <c r="B4516" s="1" t="s">
        <v>14370</v>
      </c>
      <c r="C4516" s="1" t="s">
        <v>14371</v>
      </c>
      <c r="D4516" s="1" t="s">
        <v>14339</v>
      </c>
      <c r="G4516" s="1" t="s">
        <v>14372</v>
      </c>
    </row>
    <row r="4517" spans="1:7" x14ac:dyDescent="0.3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</row>
    <row r="4518" spans="1:7" x14ac:dyDescent="0.3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G4518" s="1" t="s">
        <v>14377</v>
      </c>
    </row>
    <row r="4519" spans="1:7" x14ac:dyDescent="0.3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 x14ac:dyDescent="0.3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G4520" s="1" t="s">
        <v>14384</v>
      </c>
    </row>
    <row r="4521" spans="1:7" x14ac:dyDescent="0.3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G4521" s="1" t="s">
        <v>14388</v>
      </c>
    </row>
    <row r="4522" spans="1:7" x14ac:dyDescent="0.3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 x14ac:dyDescent="0.3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 x14ac:dyDescent="0.3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 x14ac:dyDescent="0.3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 x14ac:dyDescent="0.3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 x14ac:dyDescent="0.3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</row>
    <row r="4528" spans="1:7" x14ac:dyDescent="0.3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G4528" s="1" t="s">
        <v>14418</v>
      </c>
    </row>
    <row r="4529" spans="1:7" x14ac:dyDescent="0.3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 x14ac:dyDescent="0.3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G4530" s="1" t="s">
        <v>14425</v>
      </c>
    </row>
    <row r="4531" spans="1:7" x14ac:dyDescent="0.3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</row>
    <row r="4532" spans="1:7" x14ac:dyDescent="0.3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</row>
    <row r="4533" spans="1:7" x14ac:dyDescent="0.3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G4533" s="1" t="s">
        <v>14434</v>
      </c>
    </row>
    <row r="4534" spans="1:7" x14ac:dyDescent="0.3">
      <c r="A4534" s="1" t="s">
        <v>30</v>
      </c>
      <c r="B4534" s="1" t="s">
        <v>14435</v>
      </c>
      <c r="C4534" s="1" t="s">
        <v>14436</v>
      </c>
      <c r="D4534" s="1" t="s">
        <v>14433</v>
      </c>
      <c r="F4534" s="1" t="s">
        <v>14437</v>
      </c>
      <c r="G4534" s="1" t="s">
        <v>14438</v>
      </c>
    </row>
    <row r="4535" spans="1:7" x14ac:dyDescent="0.3">
      <c r="A4535" s="1" t="s">
        <v>30</v>
      </c>
      <c r="B4535" s="1" t="s">
        <v>14439</v>
      </c>
      <c r="C4535" s="1" t="s">
        <v>14440</v>
      </c>
      <c r="D4535" s="1" t="s">
        <v>14433</v>
      </c>
      <c r="F4535" s="1" t="s">
        <v>14441</v>
      </c>
      <c r="G4535" s="1" t="s">
        <v>14442</v>
      </c>
    </row>
    <row r="4536" spans="1:7" x14ac:dyDescent="0.3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 x14ac:dyDescent="0.3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 x14ac:dyDescent="0.3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G4538" s="1" t="s">
        <v>14453</v>
      </c>
    </row>
    <row r="4539" spans="1:7" x14ac:dyDescent="0.3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 x14ac:dyDescent="0.3">
      <c r="A4540" s="1" t="s">
        <v>7</v>
      </c>
      <c r="B4540" s="1" t="s">
        <v>14458</v>
      </c>
      <c r="D4540" s="1" t="s">
        <v>14433</v>
      </c>
      <c r="E4540" s="1" t="s">
        <v>14433</v>
      </c>
      <c r="G4540" s="1" t="s">
        <v>14459</v>
      </c>
    </row>
    <row r="4541" spans="1:7" x14ac:dyDescent="0.3">
      <c r="A4541" s="1" t="s">
        <v>21</v>
      </c>
      <c r="B4541" s="1" t="s">
        <v>14460</v>
      </c>
      <c r="C4541" s="1" t="s">
        <v>14461</v>
      </c>
      <c r="D4541" s="1" t="s">
        <v>14433</v>
      </c>
      <c r="G4541" s="1" t="s">
        <v>14462</v>
      </c>
    </row>
    <row r="4542" spans="1:7" x14ac:dyDescent="0.3">
      <c r="A4542" s="1" t="s">
        <v>30</v>
      </c>
      <c r="B4542" s="1" t="s">
        <v>14463</v>
      </c>
      <c r="C4542" s="1" t="s">
        <v>14464</v>
      </c>
      <c r="D4542" s="1" t="s">
        <v>14433</v>
      </c>
      <c r="F4542" s="1" t="s">
        <v>14465</v>
      </c>
      <c r="G4542" s="1" t="s">
        <v>14466</v>
      </c>
    </row>
    <row r="4543" spans="1:7" x14ac:dyDescent="0.3">
      <c r="A4543" s="1" t="s">
        <v>30</v>
      </c>
      <c r="B4543" s="1" t="s">
        <v>14467</v>
      </c>
      <c r="C4543" s="1" t="s">
        <v>14468</v>
      </c>
      <c r="D4543" s="1" t="s">
        <v>14433</v>
      </c>
      <c r="G4543" s="1" t="s">
        <v>14469</v>
      </c>
    </row>
    <row r="4544" spans="1:7" x14ac:dyDescent="0.3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 x14ac:dyDescent="0.3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 x14ac:dyDescent="0.3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 x14ac:dyDescent="0.3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</row>
    <row r="4548" spans="1:7" x14ac:dyDescent="0.3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 x14ac:dyDescent="0.3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 x14ac:dyDescent="0.3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 x14ac:dyDescent="0.3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 x14ac:dyDescent="0.3">
      <c r="A4552" s="1" t="s">
        <v>30</v>
      </c>
      <c r="B4552" s="1" t="s">
        <v>3066</v>
      </c>
      <c r="C4552" s="1" t="s">
        <v>14501</v>
      </c>
      <c r="D4552" s="1" t="s">
        <v>14502</v>
      </c>
      <c r="F4552" s="1" t="s">
        <v>14503</v>
      </c>
      <c r="G4552" s="1" t="s">
        <v>14504</v>
      </c>
    </row>
    <row r="4553" spans="1:7" x14ac:dyDescent="0.3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 x14ac:dyDescent="0.3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G4554" s="1" t="s">
        <v>14510</v>
      </c>
    </row>
    <row r="4555" spans="1:7" x14ac:dyDescent="0.3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G4555" s="1" t="s">
        <v>14513</v>
      </c>
    </row>
    <row r="4556" spans="1:7" x14ac:dyDescent="0.3">
      <c r="A4556" s="1" t="s">
        <v>7</v>
      </c>
      <c r="B4556" s="1" t="s">
        <v>14514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 x14ac:dyDescent="0.3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G4557" s="1" t="s">
        <v>14521</v>
      </c>
    </row>
    <row r="4558" spans="1:7" x14ac:dyDescent="0.3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G4558" s="1" t="s">
        <v>14525</v>
      </c>
    </row>
    <row r="4559" spans="1:7" x14ac:dyDescent="0.3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 x14ac:dyDescent="0.3">
      <c r="A4560" s="1" t="s">
        <v>30</v>
      </c>
      <c r="B4560" s="1" t="s">
        <v>14531</v>
      </c>
      <c r="D4560" s="1" t="s">
        <v>14515</v>
      </c>
      <c r="E4560" s="1" t="s">
        <v>14528</v>
      </c>
    </row>
    <row r="4561" spans="1:7" x14ac:dyDescent="0.3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 x14ac:dyDescent="0.3">
      <c r="A4562" s="1" t="s">
        <v>30</v>
      </c>
      <c r="B4562" s="1" t="s">
        <v>14537</v>
      </c>
      <c r="D4562" s="1" t="s">
        <v>14515</v>
      </c>
      <c r="E4562" s="1" t="s">
        <v>14538</v>
      </c>
      <c r="F4562" s="1" t="s">
        <v>14539</v>
      </c>
    </row>
    <row r="4563" spans="1:7" x14ac:dyDescent="0.3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 x14ac:dyDescent="0.3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</row>
    <row r="4565" spans="1:7" x14ac:dyDescent="0.3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G4565" s="1" t="s">
        <v>14549</v>
      </c>
    </row>
    <row r="4566" spans="1:7" x14ac:dyDescent="0.3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 x14ac:dyDescent="0.3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 x14ac:dyDescent="0.3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 x14ac:dyDescent="0.3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 x14ac:dyDescent="0.3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</row>
    <row r="4571" spans="1:7" x14ac:dyDescent="0.3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</row>
    <row r="4572" spans="1:7" x14ac:dyDescent="0.3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 x14ac:dyDescent="0.3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G4573" s="1" t="s">
        <v>14567</v>
      </c>
    </row>
    <row r="4574" spans="1:7" x14ac:dyDescent="0.3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 x14ac:dyDescent="0.3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 x14ac:dyDescent="0.3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 x14ac:dyDescent="0.3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</row>
    <row r="4578" spans="1:7" x14ac:dyDescent="0.3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 x14ac:dyDescent="0.3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</row>
    <row r="4580" spans="1:7" x14ac:dyDescent="0.3">
      <c r="A4580" s="1" t="s">
        <v>30</v>
      </c>
      <c r="B4580" s="1" t="s">
        <v>14586</v>
      </c>
      <c r="D4580" s="1" t="s">
        <v>14581</v>
      </c>
      <c r="E4580" s="1" t="s">
        <v>14587</v>
      </c>
      <c r="G4580" s="1" t="s">
        <v>14588</v>
      </c>
    </row>
    <row r="4581" spans="1:7" x14ac:dyDescent="0.3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 x14ac:dyDescent="0.3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G4582" s="1" t="s">
        <v>14595</v>
      </c>
    </row>
    <row r="4583" spans="1:7" x14ac:dyDescent="0.3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G4583" s="1" t="s">
        <v>14598</v>
      </c>
    </row>
    <row r="4584" spans="1:7" x14ac:dyDescent="0.3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 x14ac:dyDescent="0.3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G4585" s="1" t="s">
        <v>14605</v>
      </c>
    </row>
    <row r="4586" spans="1:7" x14ac:dyDescent="0.3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 x14ac:dyDescent="0.3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 x14ac:dyDescent="0.3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 x14ac:dyDescent="0.3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 x14ac:dyDescent="0.3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 x14ac:dyDescent="0.3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G4591" s="1" t="s">
        <v>14629</v>
      </c>
    </row>
    <row r="4592" spans="1:7" x14ac:dyDescent="0.3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 x14ac:dyDescent="0.3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 x14ac:dyDescent="0.3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 x14ac:dyDescent="0.3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</row>
    <row r="4596" spans="1:7" x14ac:dyDescent="0.3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G4596" s="1" t="s">
        <v>14647</v>
      </c>
    </row>
    <row r="4597" spans="1:7" x14ac:dyDescent="0.3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 x14ac:dyDescent="0.3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 x14ac:dyDescent="0.3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 x14ac:dyDescent="0.3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 x14ac:dyDescent="0.3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 x14ac:dyDescent="0.3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 x14ac:dyDescent="0.3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 x14ac:dyDescent="0.3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G4604" s="1" t="s">
        <v>14677</v>
      </c>
    </row>
    <row r="4605" spans="1:7" x14ac:dyDescent="0.3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 x14ac:dyDescent="0.3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 x14ac:dyDescent="0.3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 x14ac:dyDescent="0.3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 x14ac:dyDescent="0.3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G4609" s="1" t="s">
        <v>14699</v>
      </c>
    </row>
    <row r="4610" spans="1:7" x14ac:dyDescent="0.3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 x14ac:dyDescent="0.3">
      <c r="A4611" s="1" t="s">
        <v>30</v>
      </c>
      <c r="B4611" s="1" t="s">
        <v>14704</v>
      </c>
      <c r="C4611" s="1" t="s">
        <v>14705</v>
      </c>
      <c r="D4611" s="1" t="s">
        <v>14581</v>
      </c>
      <c r="G4611" s="1" t="s">
        <v>14706</v>
      </c>
    </row>
    <row r="4612" spans="1:7" x14ac:dyDescent="0.3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G4612" s="1" t="s">
        <v>12272</v>
      </c>
    </row>
    <row r="4613" spans="1:7" x14ac:dyDescent="0.3">
      <c r="A4613" s="1" t="s">
        <v>191</v>
      </c>
      <c r="B4613" s="1" t="s">
        <v>14710</v>
      </c>
      <c r="C4613" s="1" t="s">
        <v>14711</v>
      </c>
      <c r="D4613" s="1" t="s">
        <v>14581</v>
      </c>
      <c r="G4613" s="1" t="s">
        <v>12272</v>
      </c>
    </row>
    <row r="4614" spans="1:7" x14ac:dyDescent="0.3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 x14ac:dyDescent="0.3">
      <c r="A4615" s="1" t="s">
        <v>30</v>
      </c>
      <c r="B4615" s="1" t="s">
        <v>14716</v>
      </c>
      <c r="C4615" s="1" t="s">
        <v>14717</v>
      </c>
      <c r="D4615" s="1" t="s">
        <v>14581</v>
      </c>
    </row>
    <row r="4616" spans="1:7" x14ac:dyDescent="0.3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G4616" s="1" t="s">
        <v>14721</v>
      </c>
    </row>
    <row r="4617" spans="1:7" x14ac:dyDescent="0.3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G4617" s="1" t="s">
        <v>14725</v>
      </c>
    </row>
    <row r="4618" spans="1:7" x14ac:dyDescent="0.3">
      <c r="A4618" s="1" t="s">
        <v>30</v>
      </c>
      <c r="B4618" s="1" t="s">
        <v>14726</v>
      </c>
      <c r="C4618" s="1" t="s">
        <v>14727</v>
      </c>
      <c r="D4618" s="1" t="s">
        <v>14581</v>
      </c>
      <c r="F4618" s="1" t="s">
        <v>14728</v>
      </c>
      <c r="G4618" s="1" t="s">
        <v>14729</v>
      </c>
    </row>
    <row r="4619" spans="1:7" x14ac:dyDescent="0.3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G4619" s="1" t="s">
        <v>14732</v>
      </c>
    </row>
    <row r="4620" spans="1:7" x14ac:dyDescent="0.3">
      <c r="A4620" s="1" t="s">
        <v>83</v>
      </c>
      <c r="B4620" s="1" t="s">
        <v>14623</v>
      </c>
      <c r="C4620" s="1" t="s">
        <v>14624</v>
      </c>
      <c r="D4620" s="1" t="s">
        <v>14581</v>
      </c>
      <c r="G4620" s="1" t="s">
        <v>14733</v>
      </c>
    </row>
    <row r="4621" spans="1:7" x14ac:dyDescent="0.3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 x14ac:dyDescent="0.3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 x14ac:dyDescent="0.3">
      <c r="A4623" s="1" t="s">
        <v>30</v>
      </c>
      <c r="B4623" s="1" t="s">
        <v>14740</v>
      </c>
      <c r="C4623" s="1" t="s">
        <v>14741</v>
      </c>
      <c r="D4623" s="1" t="s">
        <v>14581</v>
      </c>
    </row>
    <row r="4624" spans="1:7" x14ac:dyDescent="0.3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 x14ac:dyDescent="0.3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 x14ac:dyDescent="0.3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 x14ac:dyDescent="0.3">
      <c r="A4627" s="1" t="s">
        <v>30</v>
      </c>
      <c r="B4627" s="1" t="s">
        <v>4701</v>
      </c>
      <c r="C4627" s="1" t="s">
        <v>14757</v>
      </c>
      <c r="D4627" s="1" t="s">
        <v>14581</v>
      </c>
      <c r="G4627" s="1" t="s">
        <v>14758</v>
      </c>
    </row>
    <row r="4628" spans="1:7" x14ac:dyDescent="0.3">
      <c r="A4628" s="1" t="s">
        <v>30</v>
      </c>
      <c r="B4628" s="1" t="s">
        <v>14759</v>
      </c>
      <c r="C4628" s="1" t="s">
        <v>14760</v>
      </c>
      <c r="D4628" s="1" t="s">
        <v>14581</v>
      </c>
      <c r="G4628" s="1" t="s">
        <v>14761</v>
      </c>
    </row>
    <row r="4629" spans="1:7" x14ac:dyDescent="0.3">
      <c r="A4629" s="1" t="s">
        <v>30</v>
      </c>
      <c r="B4629" s="1" t="s">
        <v>14762</v>
      </c>
      <c r="C4629" s="1" t="s">
        <v>14763</v>
      </c>
      <c r="D4629" s="1" t="s">
        <v>14581</v>
      </c>
      <c r="G4629" s="1" t="s">
        <v>14764</v>
      </c>
    </row>
    <row r="4630" spans="1:7" x14ac:dyDescent="0.3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</row>
    <row r="4631" spans="1:7" x14ac:dyDescent="0.3">
      <c r="A4631" s="1" t="s">
        <v>30</v>
      </c>
      <c r="B4631" s="1" t="s">
        <v>14767</v>
      </c>
      <c r="C4631" s="1" t="s">
        <v>14768</v>
      </c>
      <c r="D4631" s="1" t="s">
        <v>14581</v>
      </c>
      <c r="G4631" s="1" t="s">
        <v>14769</v>
      </c>
    </row>
    <row r="4632" spans="1:7" x14ac:dyDescent="0.3">
      <c r="A4632" s="1" t="s">
        <v>13</v>
      </c>
      <c r="B4632" s="1" t="s">
        <v>14770</v>
      </c>
      <c r="C4632" s="1" t="s">
        <v>14771</v>
      </c>
      <c r="D4632" s="1" t="s">
        <v>14581</v>
      </c>
    </row>
    <row r="4633" spans="1:7" x14ac:dyDescent="0.3">
      <c r="A4633" s="1" t="s">
        <v>191</v>
      </c>
      <c r="B4633" s="1" t="s">
        <v>14772</v>
      </c>
      <c r="C4633" s="1" t="s">
        <v>14773</v>
      </c>
      <c r="D4633" s="1" t="s">
        <v>14581</v>
      </c>
      <c r="G4633" s="1" t="s">
        <v>14774</v>
      </c>
    </row>
    <row r="4634" spans="1:7" x14ac:dyDescent="0.3">
      <c r="A4634" s="1" t="s">
        <v>30</v>
      </c>
      <c r="B4634" s="1" t="s">
        <v>14775</v>
      </c>
      <c r="C4634" s="1" t="s">
        <v>14776</v>
      </c>
      <c r="D4634" s="1" t="s">
        <v>14581</v>
      </c>
    </row>
    <row r="4635" spans="1:7" x14ac:dyDescent="0.3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 x14ac:dyDescent="0.3">
      <c r="A4636" s="1" t="s">
        <v>30</v>
      </c>
      <c r="B4636" s="1" t="s">
        <v>14781</v>
      </c>
      <c r="C4636" s="1" t="s">
        <v>14782</v>
      </c>
      <c r="D4636" s="1" t="s">
        <v>14581</v>
      </c>
      <c r="G4636" s="1" t="s">
        <v>14783</v>
      </c>
    </row>
    <row r="4637" spans="1:7" x14ac:dyDescent="0.3">
      <c r="A4637" s="1" t="s">
        <v>7</v>
      </c>
      <c r="B4637" s="1" t="s">
        <v>14784</v>
      </c>
      <c r="D4637" s="1" t="s">
        <v>14581</v>
      </c>
      <c r="E4637" s="1" t="s">
        <v>14785</v>
      </c>
      <c r="G4637" s="1" t="s">
        <v>14786</v>
      </c>
    </row>
    <row r="4638" spans="1:7" x14ac:dyDescent="0.3">
      <c r="A4638" s="1" t="s">
        <v>30</v>
      </c>
      <c r="B4638" s="1" t="s">
        <v>14787</v>
      </c>
      <c r="C4638" s="1" t="s">
        <v>14788</v>
      </c>
      <c r="D4638" s="1" t="s">
        <v>14581</v>
      </c>
      <c r="F4638" s="1" t="s">
        <v>14789</v>
      </c>
      <c r="G4638" s="1" t="s">
        <v>14790</v>
      </c>
    </row>
    <row r="4639" spans="1:7" x14ac:dyDescent="0.3">
      <c r="A4639" s="1" t="s">
        <v>191</v>
      </c>
      <c r="B4639" s="1" t="s">
        <v>14791</v>
      </c>
      <c r="C4639" s="1" t="s">
        <v>14792</v>
      </c>
      <c r="D4639" s="1" t="s">
        <v>14581</v>
      </c>
      <c r="G4639" s="1" t="s">
        <v>12272</v>
      </c>
    </row>
    <row r="4640" spans="1:7" x14ac:dyDescent="0.3">
      <c r="A4640" s="1" t="s">
        <v>30</v>
      </c>
      <c r="B4640" s="1" t="s">
        <v>14793</v>
      </c>
      <c r="C4640" s="1" t="s">
        <v>14794</v>
      </c>
      <c r="D4640" s="1" t="s">
        <v>14581</v>
      </c>
      <c r="G4640" s="1" t="s">
        <v>14795</v>
      </c>
    </row>
    <row r="4641" spans="1:7" x14ac:dyDescent="0.3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 x14ac:dyDescent="0.3">
      <c r="A4642" s="1" t="s">
        <v>13</v>
      </c>
      <c r="B4642" s="1" t="s">
        <v>14801</v>
      </c>
      <c r="C4642" s="1" t="s">
        <v>14802</v>
      </c>
      <c r="D4642" s="1" t="s">
        <v>14581</v>
      </c>
    </row>
    <row r="4643" spans="1:7" x14ac:dyDescent="0.3">
      <c r="A4643" s="1" t="s">
        <v>13</v>
      </c>
      <c r="B4643" s="1" t="s">
        <v>14803</v>
      </c>
      <c r="D4643" s="1" t="s">
        <v>14581</v>
      </c>
    </row>
    <row r="4644" spans="1:7" x14ac:dyDescent="0.3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 x14ac:dyDescent="0.3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</row>
    <row r="4646" spans="1:7" x14ac:dyDescent="0.3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 x14ac:dyDescent="0.3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 x14ac:dyDescent="0.3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 x14ac:dyDescent="0.3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 x14ac:dyDescent="0.3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 x14ac:dyDescent="0.3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 x14ac:dyDescent="0.3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 x14ac:dyDescent="0.3">
      <c r="A4653" s="1" t="s">
        <v>187</v>
      </c>
      <c r="B4653" s="1" t="s">
        <v>14840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 x14ac:dyDescent="0.3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 x14ac:dyDescent="0.3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 x14ac:dyDescent="0.3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</row>
    <row r="4657" spans="1:7" x14ac:dyDescent="0.3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G4657" s="1" t="s">
        <v>14856</v>
      </c>
    </row>
    <row r="4658" spans="1:7" x14ac:dyDescent="0.3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G4658" s="1" t="s">
        <v>14859</v>
      </c>
    </row>
    <row r="4659" spans="1:7" x14ac:dyDescent="0.3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 x14ac:dyDescent="0.3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</row>
    <row r="4661" spans="1:7" x14ac:dyDescent="0.3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 x14ac:dyDescent="0.3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 x14ac:dyDescent="0.3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 x14ac:dyDescent="0.3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 x14ac:dyDescent="0.3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 x14ac:dyDescent="0.3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G4666" s="1" t="s">
        <v>14732</v>
      </c>
    </row>
    <row r="4667" spans="1:7" x14ac:dyDescent="0.3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</row>
    <row r="4668" spans="1:7" x14ac:dyDescent="0.3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G4668" s="1" t="s">
        <v>14893</v>
      </c>
    </row>
    <row r="4669" spans="1:7" x14ac:dyDescent="0.3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 x14ac:dyDescent="0.3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 x14ac:dyDescent="0.3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 x14ac:dyDescent="0.3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 x14ac:dyDescent="0.3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G4673" s="1" t="s">
        <v>14914</v>
      </c>
    </row>
    <row r="4674" spans="1:7" x14ac:dyDescent="0.3">
      <c r="A4674" s="1" t="s">
        <v>30</v>
      </c>
      <c r="B4674" s="1" t="s">
        <v>14915</v>
      </c>
      <c r="C4674" s="1" t="s">
        <v>14916</v>
      </c>
      <c r="D4674" s="1" t="s">
        <v>14581</v>
      </c>
      <c r="G4674" s="1" t="s">
        <v>14602</v>
      </c>
    </row>
    <row r="4675" spans="1:7" x14ac:dyDescent="0.3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G4675" s="1" t="s">
        <v>14918</v>
      </c>
    </row>
    <row r="4676" spans="1:7" x14ac:dyDescent="0.3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 x14ac:dyDescent="0.3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 x14ac:dyDescent="0.3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G4678" s="1" t="s">
        <v>14927</v>
      </c>
    </row>
    <row r="4679" spans="1:7" x14ac:dyDescent="0.3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G4679" s="1" t="s">
        <v>14930</v>
      </c>
    </row>
    <row r="4680" spans="1:7" x14ac:dyDescent="0.3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 x14ac:dyDescent="0.3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 x14ac:dyDescent="0.3">
      <c r="A4682" s="1" t="s">
        <v>13</v>
      </c>
      <c r="B4682" s="1" t="s">
        <v>14940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 x14ac:dyDescent="0.3">
      <c r="A4683" s="1" t="s">
        <v>191</v>
      </c>
      <c r="B4683" s="1" t="s">
        <v>14944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 x14ac:dyDescent="0.3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G4684" s="1" t="s">
        <v>14950</v>
      </c>
    </row>
    <row r="4685" spans="1:7" x14ac:dyDescent="0.3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G4685" s="1" t="s">
        <v>14953</v>
      </c>
    </row>
    <row r="4686" spans="1:7" x14ac:dyDescent="0.3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G4686" s="1" t="s">
        <v>14957</v>
      </c>
    </row>
    <row r="4687" spans="1:7" x14ac:dyDescent="0.3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</row>
    <row r="4688" spans="1:7" x14ac:dyDescent="0.3">
      <c r="A4688" s="1" t="s">
        <v>30</v>
      </c>
      <c r="B4688" s="1" t="s">
        <v>14960</v>
      </c>
      <c r="D4688" s="1" t="s">
        <v>14581</v>
      </c>
      <c r="E4688" s="1" t="s">
        <v>14961</v>
      </c>
    </row>
    <row r="4689" spans="1:7" x14ac:dyDescent="0.3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</row>
    <row r="4690" spans="1:7" x14ac:dyDescent="0.3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</row>
    <row r="4691" spans="1:7" x14ac:dyDescent="0.3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</row>
    <row r="4692" spans="1:7" x14ac:dyDescent="0.3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G4692" s="1" t="s">
        <v>14971</v>
      </c>
    </row>
    <row r="4693" spans="1:7" x14ac:dyDescent="0.3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G4693" s="1" t="s">
        <v>14974</v>
      </c>
    </row>
    <row r="4694" spans="1:7" x14ac:dyDescent="0.3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</row>
    <row r="4695" spans="1:7" x14ac:dyDescent="0.3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</row>
    <row r="4696" spans="1:7" x14ac:dyDescent="0.3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</row>
    <row r="4697" spans="1:7" x14ac:dyDescent="0.3">
      <c r="A4697" s="1" t="s">
        <v>30</v>
      </c>
      <c r="B4697" s="1" t="s">
        <v>14983</v>
      </c>
      <c r="C4697" s="1" t="s">
        <v>14984</v>
      </c>
      <c r="D4697" s="1" t="s">
        <v>14581</v>
      </c>
    </row>
    <row r="4698" spans="1:7" x14ac:dyDescent="0.3">
      <c r="A4698" s="1" t="s">
        <v>30</v>
      </c>
      <c r="B4698" s="1" t="s">
        <v>14985</v>
      </c>
      <c r="C4698" s="1" t="s">
        <v>14986</v>
      </c>
      <c r="D4698" s="1" t="s">
        <v>14581</v>
      </c>
      <c r="G4698" s="1" t="s">
        <v>14914</v>
      </c>
    </row>
    <row r="4699" spans="1:7" x14ac:dyDescent="0.3">
      <c r="A4699" s="1" t="s">
        <v>30</v>
      </c>
      <c r="B4699" s="1" t="s">
        <v>14987</v>
      </c>
      <c r="C4699" s="1" t="s">
        <v>14988</v>
      </c>
      <c r="D4699" s="1" t="s">
        <v>14581</v>
      </c>
      <c r="G4699" s="1" t="s">
        <v>14989</v>
      </c>
    </row>
    <row r="4700" spans="1:7" x14ac:dyDescent="0.3">
      <c r="A4700" s="1" t="s">
        <v>30</v>
      </c>
      <c r="B4700" s="1" t="s">
        <v>14990</v>
      </c>
      <c r="C4700" s="1" t="s">
        <v>14991</v>
      </c>
      <c r="D4700" s="1" t="s">
        <v>14581</v>
      </c>
    </row>
    <row r="4701" spans="1:7" x14ac:dyDescent="0.3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G4701" s="1" t="s">
        <v>14993</v>
      </c>
    </row>
    <row r="4702" spans="1:7" x14ac:dyDescent="0.3">
      <c r="A4702" s="1" t="s">
        <v>30</v>
      </c>
      <c r="B4702" s="1" t="s">
        <v>14994</v>
      </c>
      <c r="C4702" s="1" t="s">
        <v>14995</v>
      </c>
      <c r="D4702" s="1" t="s">
        <v>14581</v>
      </c>
      <c r="G4702" s="1" t="s">
        <v>14996</v>
      </c>
    </row>
    <row r="4703" spans="1:7" x14ac:dyDescent="0.3">
      <c r="A4703" s="1" t="s">
        <v>30</v>
      </c>
      <c r="B4703" s="1" t="s">
        <v>14997</v>
      </c>
      <c r="C4703" s="1" t="s">
        <v>14998</v>
      </c>
      <c r="D4703" s="1" t="s">
        <v>14581</v>
      </c>
      <c r="G4703" s="1" t="s">
        <v>14999</v>
      </c>
    </row>
    <row r="4704" spans="1:7" x14ac:dyDescent="0.3">
      <c r="A4704" s="1" t="s">
        <v>30</v>
      </c>
      <c r="B4704" s="1" t="s">
        <v>14581</v>
      </c>
      <c r="C4704" s="1" t="s">
        <v>15000</v>
      </c>
      <c r="D4704" s="1" t="s">
        <v>14581</v>
      </c>
      <c r="G4704" s="1" t="s">
        <v>15001</v>
      </c>
    </row>
    <row r="4705" spans="1:7" x14ac:dyDescent="0.3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 x14ac:dyDescent="0.3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 x14ac:dyDescent="0.3">
      <c r="A4707" s="1" t="s">
        <v>30</v>
      </c>
      <c r="B4707" s="1" t="s">
        <v>15010</v>
      </c>
      <c r="C4707" s="1" t="s">
        <v>15011</v>
      </c>
      <c r="D4707" s="1" t="s">
        <v>14581</v>
      </c>
      <c r="G4707" s="1" t="s">
        <v>15012</v>
      </c>
    </row>
    <row r="4708" spans="1:7" x14ac:dyDescent="0.3">
      <c r="A4708" s="1" t="s">
        <v>13</v>
      </c>
      <c r="B4708" s="1" t="s">
        <v>15013</v>
      </c>
      <c r="C4708" s="1" t="s">
        <v>15014</v>
      </c>
      <c r="D4708" s="1" t="s">
        <v>14581</v>
      </c>
      <c r="G4708" s="1" t="s">
        <v>15015</v>
      </c>
    </row>
    <row r="4709" spans="1:7" x14ac:dyDescent="0.3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 x14ac:dyDescent="0.3">
      <c r="A4710" s="1" t="s">
        <v>13</v>
      </c>
      <c r="B4710" s="1" t="s">
        <v>15020</v>
      </c>
      <c r="C4710" s="1" t="s">
        <v>15021</v>
      </c>
      <c r="D4710" s="1" t="s">
        <v>14581</v>
      </c>
      <c r="G4710" s="1" t="s">
        <v>15022</v>
      </c>
    </row>
    <row r="4711" spans="1:7" x14ac:dyDescent="0.3">
      <c r="A4711" s="1" t="s">
        <v>13</v>
      </c>
      <c r="B4711" s="1" t="s">
        <v>15023</v>
      </c>
      <c r="C4711" s="1" t="s">
        <v>15024</v>
      </c>
      <c r="D4711" s="1" t="s">
        <v>14581</v>
      </c>
      <c r="G4711" s="1" t="s">
        <v>15025</v>
      </c>
    </row>
    <row r="4712" spans="1:7" x14ac:dyDescent="0.3">
      <c r="A4712" s="1" t="s">
        <v>30</v>
      </c>
      <c r="B4712" s="1" t="s">
        <v>15026</v>
      </c>
      <c r="C4712" s="1" t="s">
        <v>15027</v>
      </c>
      <c r="D4712" s="1" t="s">
        <v>14581</v>
      </c>
      <c r="G4712" s="1" t="s">
        <v>15028</v>
      </c>
    </row>
    <row r="4713" spans="1:7" x14ac:dyDescent="0.3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G4713" s="1" t="s">
        <v>15032</v>
      </c>
    </row>
    <row r="4714" spans="1:7" x14ac:dyDescent="0.3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 x14ac:dyDescent="0.3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G4715" s="1" t="s">
        <v>15039</v>
      </c>
    </row>
    <row r="4716" spans="1:7" x14ac:dyDescent="0.3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 x14ac:dyDescent="0.3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G4717" s="1" t="s">
        <v>15046</v>
      </c>
    </row>
    <row r="4718" spans="1:7" x14ac:dyDescent="0.3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</row>
    <row r="4719" spans="1:7" x14ac:dyDescent="0.3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G4719" s="1" t="s">
        <v>15051</v>
      </c>
    </row>
    <row r="4720" spans="1:7" x14ac:dyDescent="0.3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G4720" s="1" t="s">
        <v>15054</v>
      </c>
    </row>
    <row r="4721" spans="1:7" x14ac:dyDescent="0.3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G4721" s="1" t="s">
        <v>15057</v>
      </c>
    </row>
    <row r="4722" spans="1:7" x14ac:dyDescent="0.3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</row>
    <row r="4723" spans="1:7" x14ac:dyDescent="0.3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</row>
    <row r="4724" spans="1:7" x14ac:dyDescent="0.3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G4724" s="1" t="s">
        <v>15063</v>
      </c>
    </row>
    <row r="4725" spans="1:7" x14ac:dyDescent="0.3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</row>
    <row r="4726" spans="1:7" x14ac:dyDescent="0.3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</row>
    <row r="4727" spans="1:7" x14ac:dyDescent="0.3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G4727" s="1" t="s">
        <v>15070</v>
      </c>
    </row>
    <row r="4728" spans="1:7" x14ac:dyDescent="0.3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</row>
    <row r="4729" spans="1:7" x14ac:dyDescent="0.3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G4729" s="1" t="s">
        <v>15075</v>
      </c>
    </row>
    <row r="4730" spans="1:7" x14ac:dyDescent="0.3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G4730" s="1" t="s">
        <v>15079</v>
      </c>
    </row>
    <row r="4731" spans="1:7" x14ac:dyDescent="0.3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</row>
    <row r="4732" spans="1:7" x14ac:dyDescent="0.3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G4732" s="1" t="s">
        <v>15084</v>
      </c>
    </row>
    <row r="4733" spans="1:7" x14ac:dyDescent="0.3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G4733" s="1" t="s">
        <v>15087</v>
      </c>
    </row>
    <row r="4734" spans="1:7" x14ac:dyDescent="0.3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</row>
    <row r="4735" spans="1:7" x14ac:dyDescent="0.3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</row>
    <row r="4736" spans="1:7" x14ac:dyDescent="0.3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G4736" s="1" t="s">
        <v>15094</v>
      </c>
    </row>
    <row r="4737" spans="1:7" x14ac:dyDescent="0.3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G4737" s="1" t="s">
        <v>15097</v>
      </c>
    </row>
    <row r="4738" spans="1:7" x14ac:dyDescent="0.3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G4738" s="1" t="s">
        <v>15097</v>
      </c>
    </row>
    <row r="4739" spans="1:7" x14ac:dyDescent="0.3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G4739" s="1" t="s">
        <v>15102</v>
      </c>
    </row>
    <row r="4740" spans="1:7" x14ac:dyDescent="0.3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G4740" s="1" t="s">
        <v>15105</v>
      </c>
    </row>
    <row r="4741" spans="1:7" x14ac:dyDescent="0.3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 x14ac:dyDescent="0.3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 x14ac:dyDescent="0.3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 x14ac:dyDescent="0.3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G4744" s="1" t="s">
        <v>15119</v>
      </c>
    </row>
    <row r="4745" spans="1:7" x14ac:dyDescent="0.3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 x14ac:dyDescent="0.3">
      <c r="A4746" s="1" t="s">
        <v>89</v>
      </c>
      <c r="B4746" s="1" t="s">
        <v>138</v>
      </c>
      <c r="C4746" s="1" t="s">
        <v>15124</v>
      </c>
      <c r="D4746" s="1" t="s">
        <v>15101</v>
      </c>
    </row>
    <row r="4747" spans="1:7" x14ac:dyDescent="0.3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G4747" s="1" t="s">
        <v>15127</v>
      </c>
    </row>
    <row r="4748" spans="1:7" x14ac:dyDescent="0.3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 x14ac:dyDescent="0.3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</row>
    <row r="4750" spans="1:7" x14ac:dyDescent="0.3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</row>
    <row r="4751" spans="1:7" x14ac:dyDescent="0.3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G4751" s="1" t="s">
        <v>15138</v>
      </c>
    </row>
    <row r="4752" spans="1:7" x14ac:dyDescent="0.3">
      <c r="A4752" s="1" t="s">
        <v>30</v>
      </c>
      <c r="B4752" s="1" t="s">
        <v>15139</v>
      </c>
      <c r="C4752" s="1" t="s">
        <v>15140</v>
      </c>
      <c r="D4752" s="1" t="s">
        <v>15134</v>
      </c>
      <c r="G4752" s="1" t="s">
        <v>15141</v>
      </c>
    </row>
    <row r="4753" spans="1:7" x14ac:dyDescent="0.3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 x14ac:dyDescent="0.3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G4754" s="1" t="s">
        <v>15148</v>
      </c>
    </row>
    <row r="4755" spans="1:7" x14ac:dyDescent="0.3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 x14ac:dyDescent="0.3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G4756" s="1" t="s">
        <v>15158</v>
      </c>
    </row>
    <row r="4757" spans="1:7" x14ac:dyDescent="0.3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G4757" s="1" t="s">
        <v>15161</v>
      </c>
    </row>
    <row r="4758" spans="1:7" x14ac:dyDescent="0.3">
      <c r="A4758" s="1" t="s">
        <v>89</v>
      </c>
      <c r="B4758" s="1" t="s">
        <v>138</v>
      </c>
      <c r="C4758" s="1" t="s">
        <v>15162</v>
      </c>
      <c r="D4758" s="1" t="s">
        <v>15156</v>
      </c>
      <c r="F4758" s="1" t="s">
        <v>15163</v>
      </c>
    </row>
    <row r="4759" spans="1:7" x14ac:dyDescent="0.3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G4759" s="1" t="s">
        <v>15166</v>
      </c>
    </row>
    <row r="4760" spans="1:7" x14ac:dyDescent="0.3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</row>
    <row r="4761" spans="1:7" x14ac:dyDescent="0.3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 x14ac:dyDescent="0.3">
      <c r="A4762" s="1" t="s">
        <v>30</v>
      </c>
      <c r="B4762" s="1" t="s">
        <v>15173</v>
      </c>
      <c r="C4762" s="1" t="s">
        <v>15174</v>
      </c>
      <c r="D4762" s="1" t="s">
        <v>15156</v>
      </c>
      <c r="G4762" s="1" t="s">
        <v>15175</v>
      </c>
    </row>
    <row r="4763" spans="1:7" x14ac:dyDescent="0.3">
      <c r="A4763" s="1" t="s">
        <v>36</v>
      </c>
      <c r="B4763" s="1" t="s">
        <v>15176</v>
      </c>
      <c r="C4763" s="1" t="s">
        <v>15177</v>
      </c>
      <c r="D4763" s="1" t="s">
        <v>15156</v>
      </c>
    </row>
    <row r="4764" spans="1:7" x14ac:dyDescent="0.3">
      <c r="A4764" s="1" t="s">
        <v>36</v>
      </c>
      <c r="B4764" s="1" t="s">
        <v>15178</v>
      </c>
      <c r="C4764" s="1" t="s">
        <v>15179</v>
      </c>
      <c r="D4764" s="1" t="s">
        <v>15156</v>
      </c>
      <c r="F4764" s="1" t="s">
        <v>15180</v>
      </c>
      <c r="G4764" s="1" t="s">
        <v>15181</v>
      </c>
    </row>
    <row r="4765" spans="1:7" x14ac:dyDescent="0.3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</row>
    <row r="4766" spans="1:7" x14ac:dyDescent="0.3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 x14ac:dyDescent="0.3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 x14ac:dyDescent="0.3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 x14ac:dyDescent="0.3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G4769" s="1" t="s">
        <v>15199</v>
      </c>
    </row>
    <row r="4770" spans="1:7" x14ac:dyDescent="0.3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G4770" s="1" t="s">
        <v>15203</v>
      </c>
    </row>
    <row r="4771" spans="1:7" x14ac:dyDescent="0.3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</row>
    <row r="4772" spans="1:7" x14ac:dyDescent="0.3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</row>
    <row r="4773" spans="1:7" x14ac:dyDescent="0.3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 x14ac:dyDescent="0.3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 x14ac:dyDescent="0.3">
      <c r="A4775" s="1" t="s">
        <v>36</v>
      </c>
      <c r="B4775" s="1" t="s">
        <v>15217</v>
      </c>
      <c r="C4775" s="1" t="s">
        <v>15218</v>
      </c>
      <c r="D4775" s="1" t="s">
        <v>15202</v>
      </c>
      <c r="G4775" s="1" t="s">
        <v>15219</v>
      </c>
    </row>
    <row r="4776" spans="1:7" x14ac:dyDescent="0.3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 x14ac:dyDescent="0.3">
      <c r="A4777" s="1" t="s">
        <v>30</v>
      </c>
      <c r="B4777" s="1" t="s">
        <v>15225</v>
      </c>
      <c r="C4777" s="1" t="s">
        <v>15226</v>
      </c>
      <c r="D4777" s="1" t="s">
        <v>15202</v>
      </c>
      <c r="F4777" s="1" t="s">
        <v>15227</v>
      </c>
      <c r="G4777" s="1" t="s">
        <v>15228</v>
      </c>
    </row>
    <row r="4778" spans="1:7" x14ac:dyDescent="0.3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 x14ac:dyDescent="0.3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 x14ac:dyDescent="0.3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 x14ac:dyDescent="0.3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 x14ac:dyDescent="0.3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 x14ac:dyDescent="0.3">
      <c r="A4783" s="1" t="s">
        <v>36</v>
      </c>
      <c r="B4783" s="1" t="s">
        <v>15252</v>
      </c>
      <c r="C4783" s="1" t="s">
        <v>15253</v>
      </c>
      <c r="D4783" s="1" t="s">
        <v>15254</v>
      </c>
      <c r="G4783" s="1" t="s">
        <v>15255</v>
      </c>
    </row>
    <row r="4784" spans="1:7" x14ac:dyDescent="0.3">
      <c r="A4784" s="1" t="s">
        <v>13</v>
      </c>
      <c r="B4784" s="1" t="s">
        <v>15256</v>
      </c>
      <c r="D4784" s="1" t="s">
        <v>15254</v>
      </c>
      <c r="E4784" s="1" t="s">
        <v>15257</v>
      </c>
    </row>
    <row r="4785" spans="1:7" x14ac:dyDescent="0.3">
      <c r="A4785" s="1" t="s">
        <v>21</v>
      </c>
      <c r="B4785" s="1" t="s">
        <v>15258</v>
      </c>
      <c r="D4785" s="1" t="s">
        <v>15254</v>
      </c>
    </row>
    <row r="4786" spans="1:7" x14ac:dyDescent="0.3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G4786" s="1" t="s">
        <v>15261</v>
      </c>
    </row>
    <row r="4787" spans="1:7" x14ac:dyDescent="0.3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 x14ac:dyDescent="0.3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</row>
    <row r="4789" spans="1:7" x14ac:dyDescent="0.3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</row>
    <row r="4790" spans="1:7" x14ac:dyDescent="0.3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G4790" s="1" t="s">
        <v>15272</v>
      </c>
    </row>
    <row r="4791" spans="1:7" x14ac:dyDescent="0.3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 x14ac:dyDescent="0.3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 x14ac:dyDescent="0.3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 x14ac:dyDescent="0.3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 x14ac:dyDescent="0.3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G4795" s="1" t="s">
        <v>15292</v>
      </c>
    </row>
    <row r="4796" spans="1:7" x14ac:dyDescent="0.3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G4796" s="1" t="s">
        <v>15296</v>
      </c>
    </row>
    <row r="4797" spans="1:7" x14ac:dyDescent="0.3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 x14ac:dyDescent="0.3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G4798" s="1" t="s">
        <v>15303</v>
      </c>
    </row>
    <row r="4799" spans="1:7" x14ac:dyDescent="0.3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 x14ac:dyDescent="0.3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 x14ac:dyDescent="0.3">
      <c r="A4801" s="1" t="s">
        <v>13</v>
      </c>
      <c r="B4801" s="1" t="s">
        <v>1838</v>
      </c>
      <c r="C4801" s="1" t="s">
        <v>15312</v>
      </c>
      <c r="D4801" s="1" t="s">
        <v>15287</v>
      </c>
      <c r="G4801" s="1" t="s">
        <v>15313</v>
      </c>
    </row>
    <row r="4802" spans="1:7" x14ac:dyDescent="0.3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 x14ac:dyDescent="0.3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G4803" s="1" t="s">
        <v>15292</v>
      </c>
    </row>
    <row r="4804" spans="1:7" x14ac:dyDescent="0.3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G4804" s="1" t="s">
        <v>15322</v>
      </c>
    </row>
    <row r="4805" spans="1:7" x14ac:dyDescent="0.3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 x14ac:dyDescent="0.3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 x14ac:dyDescent="0.3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G4807" s="1" t="s">
        <v>15333</v>
      </c>
    </row>
    <row r="4808" spans="1:7" x14ac:dyDescent="0.3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G4808" s="1" t="s">
        <v>15336</v>
      </c>
    </row>
    <row r="4809" spans="1:7" x14ac:dyDescent="0.3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G4809" s="1" t="s">
        <v>15339</v>
      </c>
    </row>
    <row r="4810" spans="1:7" x14ac:dyDescent="0.3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G4810" s="1" t="s">
        <v>15342</v>
      </c>
    </row>
    <row r="4811" spans="1:7" x14ac:dyDescent="0.3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 x14ac:dyDescent="0.3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 x14ac:dyDescent="0.3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G4813" s="1" t="s">
        <v>15355</v>
      </c>
    </row>
    <row r="4814" spans="1:7" x14ac:dyDescent="0.3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 x14ac:dyDescent="0.3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G4815" s="1" t="s">
        <v>15362</v>
      </c>
    </row>
    <row r="4816" spans="1:7" x14ac:dyDescent="0.3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 x14ac:dyDescent="0.3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G4817" s="1" t="s">
        <v>15369</v>
      </c>
    </row>
    <row r="4818" spans="1:7" x14ac:dyDescent="0.3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G4818" s="1" t="s">
        <v>15372</v>
      </c>
    </row>
    <row r="4819" spans="1:7" x14ac:dyDescent="0.3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 x14ac:dyDescent="0.3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</row>
    <row r="4821" spans="1:7" x14ac:dyDescent="0.3">
      <c r="A4821" s="1" t="s">
        <v>680</v>
      </c>
      <c r="B4821" s="1" t="s">
        <v>15380</v>
      </c>
      <c r="C4821" s="1" t="s">
        <v>15381</v>
      </c>
      <c r="D4821" s="1" t="s">
        <v>15354</v>
      </c>
    </row>
    <row r="4822" spans="1:7" x14ac:dyDescent="0.3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G4822" s="1" t="s">
        <v>15384</v>
      </c>
    </row>
    <row r="4823" spans="1:7" x14ac:dyDescent="0.3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</row>
    <row r="4824" spans="1:7" x14ac:dyDescent="0.3">
      <c r="A4824" s="1" t="s">
        <v>680</v>
      </c>
      <c r="B4824" s="1" t="s">
        <v>5946</v>
      </c>
      <c r="C4824" s="1" t="s">
        <v>15387</v>
      </c>
      <c r="D4824" s="1" t="s">
        <v>15354</v>
      </c>
      <c r="F4824" s="1" t="s">
        <v>15388</v>
      </c>
    </row>
    <row r="4825" spans="1:7" x14ac:dyDescent="0.3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 x14ac:dyDescent="0.3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 x14ac:dyDescent="0.3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</row>
    <row r="4828" spans="1:7" x14ac:dyDescent="0.3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 x14ac:dyDescent="0.3">
      <c r="A4829" s="1" t="s">
        <v>680</v>
      </c>
      <c r="B4829" s="1" t="s">
        <v>15403</v>
      </c>
      <c r="C4829" s="1" t="s">
        <v>15404</v>
      </c>
      <c r="D4829" s="1" t="s">
        <v>15354</v>
      </c>
      <c r="F4829" s="1" t="s">
        <v>15405</v>
      </c>
      <c r="G4829" s="1" t="s">
        <v>15406</v>
      </c>
    </row>
    <row r="4830" spans="1:7" x14ac:dyDescent="0.3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</row>
    <row r="4831" spans="1:7" x14ac:dyDescent="0.3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</row>
    <row r="4832" spans="1:7" x14ac:dyDescent="0.3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</row>
    <row r="4833" spans="1:7" x14ac:dyDescent="0.3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</row>
    <row r="4834" spans="1:7" x14ac:dyDescent="0.3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</row>
    <row r="4835" spans="1:7" x14ac:dyDescent="0.3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</row>
    <row r="4836" spans="1:7" x14ac:dyDescent="0.3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</row>
    <row r="4837" spans="1:7" x14ac:dyDescent="0.3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 x14ac:dyDescent="0.3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</row>
    <row r="4839" spans="1:7" x14ac:dyDescent="0.3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</row>
    <row r="4840" spans="1:7" x14ac:dyDescent="0.3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</row>
    <row r="4841" spans="1:7" x14ac:dyDescent="0.3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</row>
    <row r="4842" spans="1:7" x14ac:dyDescent="0.3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</row>
    <row r="4843" spans="1:7" x14ac:dyDescent="0.3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</row>
    <row r="4844" spans="1:7" x14ac:dyDescent="0.3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</row>
    <row r="4845" spans="1:7" x14ac:dyDescent="0.3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</row>
    <row r="4846" spans="1:7" x14ac:dyDescent="0.3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</row>
    <row r="4847" spans="1:7" x14ac:dyDescent="0.3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 x14ac:dyDescent="0.3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 x14ac:dyDescent="0.3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 x14ac:dyDescent="0.3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 x14ac:dyDescent="0.3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</row>
    <row r="4852" spans="1:7" x14ac:dyDescent="0.3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 x14ac:dyDescent="0.3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 x14ac:dyDescent="0.3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 x14ac:dyDescent="0.3">
      <c r="A4855" s="1" t="s">
        <v>21</v>
      </c>
      <c r="B4855" s="1" t="s">
        <v>10726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 x14ac:dyDescent="0.3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 x14ac:dyDescent="0.3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</row>
    <row r="4858" spans="1:7" x14ac:dyDescent="0.3">
      <c r="A4858" s="1" t="s">
        <v>36</v>
      </c>
      <c r="B4858" s="1" t="s">
        <v>15471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 x14ac:dyDescent="0.3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 x14ac:dyDescent="0.3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 x14ac:dyDescent="0.3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 x14ac:dyDescent="0.3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 x14ac:dyDescent="0.3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 x14ac:dyDescent="0.3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 x14ac:dyDescent="0.3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 x14ac:dyDescent="0.3">
      <c r="A4866" s="1" t="s">
        <v>30</v>
      </c>
      <c r="B4866" s="1" t="s">
        <v>15497</v>
      </c>
      <c r="C4866" s="1" t="s">
        <v>15498</v>
      </c>
      <c r="D4866" s="1" t="s">
        <v>15354</v>
      </c>
      <c r="G4866" s="1" t="s">
        <v>15499</v>
      </c>
    </row>
    <row r="4867" spans="1:7" x14ac:dyDescent="0.3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 x14ac:dyDescent="0.3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 x14ac:dyDescent="0.3">
      <c r="A4869" s="1" t="s">
        <v>30</v>
      </c>
      <c r="B4869" s="1" t="s">
        <v>15508</v>
      </c>
      <c r="C4869" s="1" t="s">
        <v>15509</v>
      </c>
      <c r="D4869" s="1" t="s">
        <v>15354</v>
      </c>
      <c r="G4869" s="1" t="s">
        <v>15510</v>
      </c>
    </row>
    <row r="4870" spans="1:7" x14ac:dyDescent="0.3">
      <c r="A4870" s="1" t="s">
        <v>680</v>
      </c>
      <c r="B4870" s="1" t="s">
        <v>15511</v>
      </c>
      <c r="D4870" s="1" t="s">
        <v>15354</v>
      </c>
      <c r="F4870" s="1" t="s">
        <v>15409</v>
      </c>
      <c r="G4870" s="1" t="s">
        <v>15512</v>
      </c>
    </row>
    <row r="4871" spans="1:7" x14ac:dyDescent="0.3">
      <c r="A4871" s="1" t="s">
        <v>13</v>
      </c>
      <c r="B4871" s="1" t="s">
        <v>15513</v>
      </c>
      <c r="C4871" s="1" t="s">
        <v>15514</v>
      </c>
      <c r="D4871" s="1" t="s">
        <v>15354</v>
      </c>
      <c r="G4871" s="1" t="s">
        <v>15515</v>
      </c>
    </row>
    <row r="4872" spans="1:7" x14ac:dyDescent="0.3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 x14ac:dyDescent="0.3">
      <c r="A4873" s="1" t="s">
        <v>680</v>
      </c>
      <c r="B4873" s="1" t="s">
        <v>15519</v>
      </c>
      <c r="C4873" s="1" t="s">
        <v>15520</v>
      </c>
      <c r="D4873" s="1" t="s">
        <v>15354</v>
      </c>
      <c r="F4873" s="1" t="s">
        <v>15521</v>
      </c>
      <c r="G4873" s="1" t="s">
        <v>15522</v>
      </c>
    </row>
    <row r="4874" spans="1:7" x14ac:dyDescent="0.3">
      <c r="A4874" s="1" t="s">
        <v>680</v>
      </c>
      <c r="B4874" s="1" t="s">
        <v>15523</v>
      </c>
      <c r="C4874" s="1" t="s">
        <v>15524</v>
      </c>
      <c r="D4874" s="1" t="s">
        <v>15354</v>
      </c>
      <c r="F4874" s="1" t="s">
        <v>15525</v>
      </c>
    </row>
    <row r="4875" spans="1:7" x14ac:dyDescent="0.3">
      <c r="A4875" s="1" t="s">
        <v>680</v>
      </c>
      <c r="B4875" s="1" t="s">
        <v>15456</v>
      </c>
      <c r="D4875" s="1" t="s">
        <v>15354</v>
      </c>
      <c r="F4875" s="1" t="s">
        <v>15459</v>
      </c>
      <c r="G4875" s="1" t="s">
        <v>15458</v>
      </c>
    </row>
    <row r="4876" spans="1:7" x14ac:dyDescent="0.3">
      <c r="A4876" s="1" t="s">
        <v>21</v>
      </c>
      <c r="B4876" s="1" t="s">
        <v>15526</v>
      </c>
      <c r="C4876" s="1" t="s">
        <v>15527</v>
      </c>
      <c r="D4876" s="1" t="s">
        <v>15354</v>
      </c>
      <c r="F4876" s="1" t="s">
        <v>15522</v>
      </c>
      <c r="G4876" s="1" t="s">
        <v>15521</v>
      </c>
    </row>
    <row r="4877" spans="1:7" x14ac:dyDescent="0.3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</row>
    <row r="4878" spans="1:7" x14ac:dyDescent="0.3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</row>
    <row r="4879" spans="1:7" x14ac:dyDescent="0.3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</row>
    <row r="4880" spans="1:7" x14ac:dyDescent="0.3">
      <c r="A4880" s="1" t="s">
        <v>680</v>
      </c>
      <c r="B4880" s="1" t="s">
        <v>15534</v>
      </c>
      <c r="C4880" s="1" t="s">
        <v>15535</v>
      </c>
      <c r="D4880" s="1" t="s">
        <v>15354</v>
      </c>
    </row>
    <row r="4881" spans="1:7" x14ac:dyDescent="0.3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 x14ac:dyDescent="0.3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 x14ac:dyDescent="0.3">
      <c r="A4883" s="1" t="s">
        <v>680</v>
      </c>
      <c r="B4883" s="1" t="s">
        <v>15544</v>
      </c>
      <c r="D4883" s="1" t="s">
        <v>15354</v>
      </c>
      <c r="E4883" s="1" t="s">
        <v>15375</v>
      </c>
    </row>
    <row r="4884" spans="1:7" x14ac:dyDescent="0.3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 x14ac:dyDescent="0.3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 x14ac:dyDescent="0.3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 x14ac:dyDescent="0.3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G4887" s="1" t="s">
        <v>15560</v>
      </c>
    </row>
    <row r="4888" spans="1:7" x14ac:dyDescent="0.3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</row>
    <row r="4889" spans="1:7" x14ac:dyDescent="0.3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 x14ac:dyDescent="0.3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 x14ac:dyDescent="0.3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 x14ac:dyDescent="0.3">
      <c r="A4892" s="1" t="s">
        <v>30</v>
      </c>
      <c r="B4892" s="1" t="s">
        <v>15578</v>
      </c>
      <c r="C4892" s="1" t="s">
        <v>15579</v>
      </c>
      <c r="D4892" s="1" t="s">
        <v>15565</v>
      </c>
      <c r="F4892" s="1" t="s">
        <v>15580</v>
      </c>
      <c r="G4892" s="1" t="s">
        <v>15581</v>
      </c>
    </row>
    <row r="4893" spans="1:7" x14ac:dyDescent="0.3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 x14ac:dyDescent="0.3">
      <c r="A4894" s="1" t="s">
        <v>89</v>
      </c>
      <c r="B4894" s="1" t="s">
        <v>2478</v>
      </c>
      <c r="D4894" s="1" t="s">
        <v>15565</v>
      </c>
      <c r="G4894" s="1" t="s">
        <v>15587</v>
      </c>
    </row>
    <row r="4895" spans="1:7" x14ac:dyDescent="0.3">
      <c r="A4895" s="1" t="s">
        <v>30</v>
      </c>
      <c r="B4895" s="1" t="s">
        <v>15588</v>
      </c>
      <c r="C4895" s="1" t="s">
        <v>15589</v>
      </c>
      <c r="D4895" s="1" t="s">
        <v>15590</v>
      </c>
      <c r="G4895" s="1" t="s">
        <v>15591</v>
      </c>
    </row>
    <row r="4896" spans="1:7" x14ac:dyDescent="0.3">
      <c r="A4896" s="1" t="s">
        <v>680</v>
      </c>
      <c r="B4896" s="1" t="s">
        <v>15592</v>
      </c>
      <c r="C4896" s="1" t="s">
        <v>15593</v>
      </c>
      <c r="D4896" s="1" t="s">
        <v>15590</v>
      </c>
    </row>
    <row r="4897" spans="1:7" x14ac:dyDescent="0.3">
      <c r="A4897" s="1" t="s">
        <v>30</v>
      </c>
      <c r="B4897" s="1" t="s">
        <v>15594</v>
      </c>
      <c r="C4897" s="1" t="s">
        <v>15595</v>
      </c>
      <c r="D4897" s="1" t="s">
        <v>15590</v>
      </c>
      <c r="G4897" s="1" t="s">
        <v>15596</v>
      </c>
    </row>
    <row r="4898" spans="1:7" x14ac:dyDescent="0.3">
      <c r="A4898" s="1" t="s">
        <v>30</v>
      </c>
      <c r="B4898" s="1" t="s">
        <v>15597</v>
      </c>
      <c r="C4898" s="1" t="s">
        <v>15598</v>
      </c>
      <c r="D4898" s="1" t="s">
        <v>15590</v>
      </c>
      <c r="F4898" s="1" t="s">
        <v>15599</v>
      </c>
      <c r="G4898" s="1" t="s">
        <v>15600</v>
      </c>
    </row>
    <row r="4899" spans="1:7" x14ac:dyDescent="0.3">
      <c r="A4899" s="1" t="s">
        <v>30</v>
      </c>
      <c r="B4899" s="1" t="s">
        <v>15601</v>
      </c>
      <c r="C4899" s="1" t="s">
        <v>15602</v>
      </c>
      <c r="D4899" s="1" t="s">
        <v>15590</v>
      </c>
      <c r="G4899" s="1" t="s">
        <v>15603</v>
      </c>
    </row>
    <row r="4900" spans="1:7" x14ac:dyDescent="0.3">
      <c r="A4900" s="1" t="s">
        <v>30</v>
      </c>
      <c r="B4900" s="1" t="s">
        <v>15604</v>
      </c>
      <c r="C4900" s="1" t="s">
        <v>15605</v>
      </c>
      <c r="D4900" s="1" t="s">
        <v>15590</v>
      </c>
      <c r="G4900" s="1" t="s">
        <v>15606</v>
      </c>
    </row>
    <row r="4901" spans="1:7" x14ac:dyDescent="0.3">
      <c r="A4901" s="1" t="s">
        <v>83</v>
      </c>
      <c r="B4901" s="1" t="s">
        <v>15607</v>
      </c>
      <c r="C4901" s="1" t="s">
        <v>15608</v>
      </c>
      <c r="D4901" s="1" t="s">
        <v>15590</v>
      </c>
      <c r="F4901" s="1" t="s">
        <v>15609</v>
      </c>
      <c r="G4901" s="1" t="s">
        <v>12832</v>
      </c>
    </row>
    <row r="4902" spans="1:7" x14ac:dyDescent="0.3">
      <c r="A4902" s="1" t="s">
        <v>83</v>
      </c>
      <c r="B4902" s="1" t="s">
        <v>15610</v>
      </c>
      <c r="C4902" s="1" t="s">
        <v>15611</v>
      </c>
      <c r="D4902" s="1" t="s">
        <v>15590</v>
      </c>
      <c r="F4902" s="1" t="s">
        <v>15612</v>
      </c>
      <c r="G4902" s="1" t="s">
        <v>15613</v>
      </c>
    </row>
    <row r="4903" spans="1:7" x14ac:dyDescent="0.3">
      <c r="A4903" s="1" t="s">
        <v>13</v>
      </c>
      <c r="B4903" s="1" t="s">
        <v>15614</v>
      </c>
      <c r="C4903" s="1" t="s">
        <v>15615</v>
      </c>
      <c r="D4903" s="1" t="s">
        <v>15590</v>
      </c>
      <c r="G4903" s="1" t="s">
        <v>15616</v>
      </c>
    </row>
    <row r="4904" spans="1:7" x14ac:dyDescent="0.3">
      <c r="A4904" s="1" t="s">
        <v>30</v>
      </c>
      <c r="B4904" s="1" t="s">
        <v>15617</v>
      </c>
      <c r="C4904" s="1" t="s">
        <v>15618</v>
      </c>
      <c r="D4904" s="1" t="s">
        <v>15590</v>
      </c>
      <c r="G4904" s="1" t="s">
        <v>15619</v>
      </c>
    </row>
    <row r="4905" spans="1:7" x14ac:dyDescent="0.3">
      <c r="A4905" s="1" t="s">
        <v>13</v>
      </c>
      <c r="B4905" s="1" t="s">
        <v>15620</v>
      </c>
      <c r="C4905" s="1" t="s">
        <v>15621</v>
      </c>
      <c r="D4905" s="1" t="s">
        <v>15590</v>
      </c>
      <c r="G4905" s="1" t="s">
        <v>15622</v>
      </c>
    </row>
    <row r="4906" spans="1:7" x14ac:dyDescent="0.3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 x14ac:dyDescent="0.3">
      <c r="A4907" s="1" t="s">
        <v>30</v>
      </c>
      <c r="B4907" s="1" t="s">
        <v>15627</v>
      </c>
      <c r="C4907" s="1" t="s">
        <v>15628</v>
      </c>
      <c r="D4907" s="1" t="s">
        <v>15590</v>
      </c>
      <c r="G4907" s="1" t="s">
        <v>15629</v>
      </c>
    </row>
    <row r="4908" spans="1:7" x14ac:dyDescent="0.3">
      <c r="A4908" s="1" t="s">
        <v>30</v>
      </c>
      <c r="B4908" s="1" t="s">
        <v>15630</v>
      </c>
      <c r="C4908" s="1" t="s">
        <v>15628</v>
      </c>
      <c r="D4908" s="1" t="s">
        <v>15590</v>
      </c>
      <c r="G4908" s="1" t="s">
        <v>15629</v>
      </c>
    </row>
    <row r="4909" spans="1:7" x14ac:dyDescent="0.3">
      <c r="A4909" s="1" t="s">
        <v>30</v>
      </c>
      <c r="B4909" s="1" t="s">
        <v>15631</v>
      </c>
      <c r="C4909" s="1" t="s">
        <v>15632</v>
      </c>
      <c r="D4909" s="1" t="s">
        <v>15590</v>
      </c>
      <c r="G4909" s="1" t="s">
        <v>15633</v>
      </c>
    </row>
    <row r="4910" spans="1:7" x14ac:dyDescent="0.3">
      <c r="A4910" s="1" t="s">
        <v>30</v>
      </c>
      <c r="B4910" s="1" t="s">
        <v>15634</v>
      </c>
      <c r="C4910" s="1" t="s">
        <v>15635</v>
      </c>
      <c r="D4910" s="1" t="s">
        <v>15590</v>
      </c>
      <c r="F4910" s="1" t="s">
        <v>15636</v>
      </c>
      <c r="G4910" s="1" t="s">
        <v>15637</v>
      </c>
    </row>
    <row r="4911" spans="1:7" x14ac:dyDescent="0.3">
      <c r="A4911" s="1" t="s">
        <v>30</v>
      </c>
      <c r="B4911" s="1" t="s">
        <v>15638</v>
      </c>
      <c r="C4911" s="1" t="s">
        <v>15639</v>
      </c>
      <c r="D4911" s="1" t="s">
        <v>15590</v>
      </c>
      <c r="G4911" s="1" t="s">
        <v>15640</v>
      </c>
    </row>
    <row r="4912" spans="1:7" x14ac:dyDescent="0.3">
      <c r="A4912" s="1" t="s">
        <v>30</v>
      </c>
      <c r="B4912" s="1" t="s">
        <v>15641</v>
      </c>
      <c r="C4912" s="1" t="s">
        <v>15642</v>
      </c>
      <c r="D4912" s="1" t="s">
        <v>15590</v>
      </c>
      <c r="F4912" s="1" t="s">
        <v>15643</v>
      </c>
      <c r="G4912" s="1" t="s">
        <v>15644</v>
      </c>
    </row>
    <row r="4913" spans="1:7" x14ac:dyDescent="0.3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 x14ac:dyDescent="0.3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 x14ac:dyDescent="0.3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 x14ac:dyDescent="0.3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 x14ac:dyDescent="0.3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 x14ac:dyDescent="0.3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 x14ac:dyDescent="0.3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 x14ac:dyDescent="0.3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 x14ac:dyDescent="0.3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 x14ac:dyDescent="0.3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G4922" s="1" t="s">
        <v>15683</v>
      </c>
    </row>
    <row r="4923" spans="1:7" x14ac:dyDescent="0.3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 x14ac:dyDescent="0.3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 x14ac:dyDescent="0.3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G4925" s="1" t="s">
        <v>15694</v>
      </c>
    </row>
    <row r="4926" spans="1:7" x14ac:dyDescent="0.3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 x14ac:dyDescent="0.3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 x14ac:dyDescent="0.3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 x14ac:dyDescent="0.3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 x14ac:dyDescent="0.3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 x14ac:dyDescent="0.3">
      <c r="A4931" s="1" t="s">
        <v>30</v>
      </c>
      <c r="B4931" s="1" t="s">
        <v>15712</v>
      </c>
      <c r="C4931" s="1" t="s">
        <v>15713</v>
      </c>
      <c r="D4931" s="1" t="s">
        <v>15590</v>
      </c>
      <c r="G4931" s="1" t="s">
        <v>15714</v>
      </c>
    </row>
    <row r="4932" spans="1:7" x14ac:dyDescent="0.3">
      <c r="A4932" s="1" t="s">
        <v>89</v>
      </c>
      <c r="B4932" s="1" t="s">
        <v>138</v>
      </c>
      <c r="D4932" s="1" t="s">
        <v>15590</v>
      </c>
      <c r="E4932" s="1" t="s">
        <v>15590</v>
      </c>
      <c r="G4932" s="1" t="s">
        <v>15715</v>
      </c>
    </row>
    <row r="4933" spans="1:7" x14ac:dyDescent="0.3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G4933" s="1" t="s">
        <v>15719</v>
      </c>
    </row>
    <row r="4934" spans="1:7" x14ac:dyDescent="0.3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 x14ac:dyDescent="0.3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 x14ac:dyDescent="0.3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 x14ac:dyDescent="0.3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 x14ac:dyDescent="0.3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 x14ac:dyDescent="0.3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 x14ac:dyDescent="0.3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 x14ac:dyDescent="0.3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 x14ac:dyDescent="0.3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 x14ac:dyDescent="0.3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 x14ac:dyDescent="0.3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 x14ac:dyDescent="0.3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 x14ac:dyDescent="0.3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 x14ac:dyDescent="0.3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G4947" s="1" t="s">
        <v>15767</v>
      </c>
    </row>
    <row r="4948" spans="1:7" x14ac:dyDescent="0.3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 x14ac:dyDescent="0.3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G4949" s="1" t="s">
        <v>15772</v>
      </c>
    </row>
    <row r="4950" spans="1:7" x14ac:dyDescent="0.3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 x14ac:dyDescent="0.3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 x14ac:dyDescent="0.3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 x14ac:dyDescent="0.3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 x14ac:dyDescent="0.3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G4954" s="1" t="s">
        <v>15788</v>
      </c>
    </row>
    <row r="4955" spans="1:7" x14ac:dyDescent="0.3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 x14ac:dyDescent="0.3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G4956" s="1" t="s">
        <v>15795</v>
      </c>
    </row>
    <row r="4957" spans="1:7" x14ac:dyDescent="0.3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</row>
    <row r="4958" spans="1:7" x14ac:dyDescent="0.3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G4958" s="1" t="s">
        <v>15800</v>
      </c>
    </row>
    <row r="4959" spans="1:7" x14ac:dyDescent="0.3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G4959" s="1" t="s">
        <v>15683</v>
      </c>
    </row>
    <row r="4960" spans="1:7" x14ac:dyDescent="0.3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G4960" s="1" t="s">
        <v>15805</v>
      </c>
    </row>
    <row r="4961" spans="1:7" x14ac:dyDescent="0.3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G4961" s="1" t="s">
        <v>15808</v>
      </c>
    </row>
    <row r="4962" spans="1:7" x14ac:dyDescent="0.3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 x14ac:dyDescent="0.3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 x14ac:dyDescent="0.3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G4964" s="1" t="s">
        <v>15819</v>
      </c>
    </row>
    <row r="4965" spans="1:7" x14ac:dyDescent="0.3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G4965" s="1" t="s">
        <v>15822</v>
      </c>
    </row>
    <row r="4966" spans="1:7" x14ac:dyDescent="0.3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 x14ac:dyDescent="0.3">
      <c r="A4967" s="1" t="s">
        <v>680</v>
      </c>
      <c r="B4967" s="1" t="s">
        <v>15827</v>
      </c>
      <c r="C4967" s="1" t="s">
        <v>2812</v>
      </c>
      <c r="D4967" s="1" t="s">
        <v>15590</v>
      </c>
    </row>
    <row r="4968" spans="1:7" x14ac:dyDescent="0.3">
      <c r="A4968" s="1" t="s">
        <v>680</v>
      </c>
      <c r="B4968" s="1" t="s">
        <v>15828</v>
      </c>
      <c r="C4968" s="1" t="s">
        <v>15829</v>
      </c>
      <c r="D4968" s="1" t="s">
        <v>15590</v>
      </c>
    </row>
    <row r="4969" spans="1:7" x14ac:dyDescent="0.3">
      <c r="A4969" s="1" t="s">
        <v>680</v>
      </c>
      <c r="B4969" s="1" t="s">
        <v>15830</v>
      </c>
      <c r="C4969" s="1" t="s">
        <v>15831</v>
      </c>
      <c r="D4969" s="1" t="s">
        <v>15590</v>
      </c>
    </row>
    <row r="4970" spans="1:7" x14ac:dyDescent="0.3">
      <c r="A4970" s="1" t="s">
        <v>680</v>
      </c>
      <c r="B4970" s="1" t="s">
        <v>5712</v>
      </c>
      <c r="C4970" s="1" t="s">
        <v>15832</v>
      </c>
      <c r="D4970" s="1" t="s">
        <v>15590</v>
      </c>
      <c r="F4970" s="1" t="s">
        <v>15833</v>
      </c>
      <c r="G4970" s="1" t="s">
        <v>15834</v>
      </c>
    </row>
    <row r="4971" spans="1:7" x14ac:dyDescent="0.3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</row>
    <row r="4972" spans="1:7" x14ac:dyDescent="0.3">
      <c r="A4972" s="1" t="s">
        <v>680</v>
      </c>
      <c r="B4972" s="1" t="s">
        <v>15836</v>
      </c>
      <c r="C4972" s="1" t="s">
        <v>15824</v>
      </c>
      <c r="D4972" s="1" t="s">
        <v>15590</v>
      </c>
    </row>
    <row r="4973" spans="1:7" x14ac:dyDescent="0.3">
      <c r="A4973" s="1" t="s">
        <v>680</v>
      </c>
      <c r="B4973" s="1" t="s">
        <v>15789</v>
      </c>
      <c r="C4973" s="1" t="s">
        <v>15824</v>
      </c>
      <c r="D4973" s="1" t="s">
        <v>15590</v>
      </c>
    </row>
    <row r="4974" spans="1:7" x14ac:dyDescent="0.3">
      <c r="A4974" s="1" t="s">
        <v>680</v>
      </c>
      <c r="B4974" s="1" t="s">
        <v>15837</v>
      </c>
      <c r="C4974" s="1" t="s">
        <v>15838</v>
      </c>
      <c r="D4974" s="1" t="s">
        <v>15590</v>
      </c>
    </row>
    <row r="4975" spans="1:7" x14ac:dyDescent="0.3">
      <c r="A4975" s="1" t="s">
        <v>680</v>
      </c>
      <c r="B4975" s="1" t="s">
        <v>15839</v>
      </c>
      <c r="C4975" s="1" t="s">
        <v>15840</v>
      </c>
      <c r="D4975" s="1" t="s">
        <v>15590</v>
      </c>
      <c r="G4975" s="1" t="s">
        <v>15841</v>
      </c>
    </row>
    <row r="4976" spans="1:7" x14ac:dyDescent="0.3">
      <c r="A4976" s="1" t="s">
        <v>680</v>
      </c>
      <c r="B4976" s="1" t="s">
        <v>15842</v>
      </c>
      <c r="C4976" s="1" t="s">
        <v>15843</v>
      </c>
      <c r="D4976" s="1" t="s">
        <v>15590</v>
      </c>
    </row>
    <row r="4977" spans="1:7" x14ac:dyDescent="0.3">
      <c r="A4977" s="1" t="s">
        <v>680</v>
      </c>
      <c r="B4977" s="1" t="s">
        <v>15844</v>
      </c>
      <c r="C4977" s="1" t="s">
        <v>15845</v>
      </c>
      <c r="D4977" s="1" t="s">
        <v>15590</v>
      </c>
      <c r="G4977" s="1" t="s">
        <v>15846</v>
      </c>
    </row>
    <row r="4978" spans="1:7" x14ac:dyDescent="0.3">
      <c r="A4978" s="1" t="s">
        <v>680</v>
      </c>
      <c r="B4978" s="1" t="s">
        <v>15847</v>
      </c>
      <c r="C4978" s="1" t="s">
        <v>15848</v>
      </c>
      <c r="D4978" s="1" t="s">
        <v>15590</v>
      </c>
      <c r="F4978" s="1" t="s">
        <v>15849</v>
      </c>
    </row>
    <row r="4979" spans="1:7" x14ac:dyDescent="0.3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</row>
    <row r="4980" spans="1:7" x14ac:dyDescent="0.3">
      <c r="A4980" s="1" t="s">
        <v>680</v>
      </c>
      <c r="B4980" s="1" t="s">
        <v>15851</v>
      </c>
      <c r="C4980" s="1" t="s">
        <v>15852</v>
      </c>
      <c r="D4980" s="1" t="s">
        <v>15590</v>
      </c>
    </row>
    <row r="4981" spans="1:7" x14ac:dyDescent="0.3">
      <c r="A4981" s="1" t="s">
        <v>680</v>
      </c>
      <c r="B4981" s="1" t="s">
        <v>15853</v>
      </c>
      <c r="C4981" s="1" t="s">
        <v>15854</v>
      </c>
      <c r="D4981" s="1" t="s">
        <v>15590</v>
      </c>
      <c r="F4981" s="1" t="s">
        <v>15855</v>
      </c>
      <c r="G4981" s="1" t="s">
        <v>15856</v>
      </c>
    </row>
    <row r="4982" spans="1:7" x14ac:dyDescent="0.3">
      <c r="A4982" s="1" t="s">
        <v>680</v>
      </c>
      <c r="B4982" s="1" t="s">
        <v>15857</v>
      </c>
      <c r="C4982" s="1" t="s">
        <v>15824</v>
      </c>
      <c r="D4982" s="1" t="s">
        <v>15590</v>
      </c>
    </row>
    <row r="4983" spans="1:7" x14ac:dyDescent="0.3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 x14ac:dyDescent="0.3">
      <c r="A4984" s="1" t="s">
        <v>680</v>
      </c>
      <c r="B4984" s="1" t="s">
        <v>13292</v>
      </c>
      <c r="C4984" s="1" t="s">
        <v>15862</v>
      </c>
      <c r="D4984" s="1" t="s">
        <v>15590</v>
      </c>
      <c r="F4984" s="1" t="s">
        <v>15863</v>
      </c>
    </row>
    <row r="4985" spans="1:7" x14ac:dyDescent="0.3">
      <c r="A4985" s="1" t="s">
        <v>680</v>
      </c>
      <c r="B4985" s="1" t="s">
        <v>15864</v>
      </c>
      <c r="C4985" s="1" t="s">
        <v>2347</v>
      </c>
      <c r="D4985" s="1" t="s">
        <v>15590</v>
      </c>
    </row>
    <row r="4986" spans="1:7" x14ac:dyDescent="0.3">
      <c r="A4986" s="1" t="s">
        <v>680</v>
      </c>
      <c r="B4986" s="1" t="s">
        <v>15865</v>
      </c>
      <c r="D4986" s="1" t="s">
        <v>15590</v>
      </c>
      <c r="F4986" s="1" t="s">
        <v>15866</v>
      </c>
    </row>
    <row r="4987" spans="1:7" x14ac:dyDescent="0.3">
      <c r="A4987" s="1" t="s">
        <v>680</v>
      </c>
      <c r="B4987" s="1" t="s">
        <v>15867</v>
      </c>
      <c r="D4987" s="1" t="s">
        <v>15590</v>
      </c>
    </row>
    <row r="4988" spans="1:7" x14ac:dyDescent="0.3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</row>
    <row r="4989" spans="1:7" x14ac:dyDescent="0.3">
      <c r="A4989" s="1" t="s">
        <v>680</v>
      </c>
      <c r="B4989" s="1" t="s">
        <v>15870</v>
      </c>
      <c r="C4989" s="1" t="s">
        <v>2874</v>
      </c>
      <c r="D4989" s="1" t="s">
        <v>15590</v>
      </c>
    </row>
    <row r="4990" spans="1:7" x14ac:dyDescent="0.3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</row>
    <row r="4991" spans="1:7" x14ac:dyDescent="0.3">
      <c r="A4991" s="1" t="s">
        <v>680</v>
      </c>
      <c r="B4991" s="1" t="s">
        <v>1120</v>
      </c>
      <c r="C4991" s="1" t="s">
        <v>15873</v>
      </c>
      <c r="D4991" s="1" t="s">
        <v>15590</v>
      </c>
    </row>
    <row r="4992" spans="1:7" x14ac:dyDescent="0.3">
      <c r="A4992" s="1" t="s">
        <v>680</v>
      </c>
      <c r="B4992" s="1" t="s">
        <v>15874</v>
      </c>
      <c r="C4992" s="1" t="s">
        <v>15824</v>
      </c>
      <c r="D4992" s="1" t="s">
        <v>15590</v>
      </c>
    </row>
    <row r="4993" spans="1:7" x14ac:dyDescent="0.3">
      <c r="A4993" s="1" t="s">
        <v>680</v>
      </c>
      <c r="B4993" s="1" t="s">
        <v>15875</v>
      </c>
      <c r="C4993" s="1" t="s">
        <v>15824</v>
      </c>
      <c r="D4993" s="1" t="s">
        <v>15590</v>
      </c>
    </row>
    <row r="4994" spans="1:7" x14ac:dyDescent="0.3">
      <c r="A4994" s="1" t="s">
        <v>680</v>
      </c>
      <c r="B4994" s="1" t="s">
        <v>15876</v>
      </c>
      <c r="C4994" s="1" t="s">
        <v>2812</v>
      </c>
      <c r="D4994" s="1" t="s">
        <v>15590</v>
      </c>
    </row>
    <row r="4995" spans="1:7" x14ac:dyDescent="0.3">
      <c r="A4995" s="1" t="s">
        <v>680</v>
      </c>
      <c r="B4995" s="1" t="s">
        <v>15877</v>
      </c>
      <c r="C4995" s="1" t="s">
        <v>15824</v>
      </c>
      <c r="D4995" s="1" t="s">
        <v>15590</v>
      </c>
    </row>
    <row r="4996" spans="1:7" x14ac:dyDescent="0.3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</row>
    <row r="4997" spans="1:7" x14ac:dyDescent="0.3">
      <c r="A4997" s="1" t="s">
        <v>680</v>
      </c>
      <c r="B4997" s="1" t="s">
        <v>8235</v>
      </c>
      <c r="C4997" s="1" t="s">
        <v>15880</v>
      </c>
      <c r="D4997" s="1" t="s">
        <v>15590</v>
      </c>
    </row>
    <row r="4998" spans="1:7" x14ac:dyDescent="0.3">
      <c r="A4998" s="1" t="s">
        <v>680</v>
      </c>
      <c r="B4998" s="1" t="s">
        <v>15881</v>
      </c>
      <c r="C4998" s="1" t="s">
        <v>15882</v>
      </c>
      <c r="D4998" s="1" t="s">
        <v>15590</v>
      </c>
    </row>
    <row r="4999" spans="1:7" x14ac:dyDescent="0.3">
      <c r="A4999" s="1" t="s">
        <v>680</v>
      </c>
      <c r="B4999" s="1" t="s">
        <v>15883</v>
      </c>
      <c r="C4999" s="1" t="s">
        <v>15884</v>
      </c>
      <c r="D4999" s="1" t="s">
        <v>15590</v>
      </c>
    </row>
    <row r="5000" spans="1:7" x14ac:dyDescent="0.3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G5000" s="1" t="s">
        <v>15886</v>
      </c>
    </row>
    <row r="5001" spans="1:7" x14ac:dyDescent="0.3">
      <c r="A5001" s="1" t="s">
        <v>680</v>
      </c>
      <c r="B5001" s="1" t="s">
        <v>15887</v>
      </c>
      <c r="C5001" s="1" t="s">
        <v>15869</v>
      </c>
      <c r="D5001" s="1" t="s">
        <v>15590</v>
      </c>
    </row>
    <row r="5002" spans="1:7" x14ac:dyDescent="0.3">
      <c r="A5002" s="1" t="s">
        <v>680</v>
      </c>
      <c r="B5002" s="1" t="s">
        <v>15888</v>
      </c>
      <c r="C5002" s="1" t="s">
        <v>15824</v>
      </c>
      <c r="D5002" s="1" t="s">
        <v>15590</v>
      </c>
      <c r="F5002" s="1" t="s">
        <v>15889</v>
      </c>
      <c r="G5002" s="1" t="s">
        <v>15890</v>
      </c>
    </row>
    <row r="5003" spans="1:7" x14ac:dyDescent="0.3">
      <c r="A5003" s="1" t="s">
        <v>680</v>
      </c>
      <c r="B5003" s="1" t="s">
        <v>13297</v>
      </c>
      <c r="C5003" s="1" t="s">
        <v>15848</v>
      </c>
      <c r="D5003" s="1" t="s">
        <v>15590</v>
      </c>
      <c r="F5003" s="1" t="s">
        <v>15891</v>
      </c>
    </row>
    <row r="5004" spans="1:7" x14ac:dyDescent="0.3">
      <c r="A5004" s="1" t="s">
        <v>680</v>
      </c>
      <c r="B5004" s="1" t="s">
        <v>15892</v>
      </c>
      <c r="D5004" s="1" t="s">
        <v>15590</v>
      </c>
    </row>
    <row r="5005" spans="1:7" x14ac:dyDescent="0.3">
      <c r="A5005" s="1" t="s">
        <v>680</v>
      </c>
      <c r="B5005" s="1" t="s">
        <v>15893</v>
      </c>
      <c r="C5005" s="1" t="s">
        <v>15894</v>
      </c>
      <c r="D5005" s="1" t="s">
        <v>15590</v>
      </c>
    </row>
    <row r="5006" spans="1:7" x14ac:dyDescent="0.3">
      <c r="A5006" s="1" t="s">
        <v>680</v>
      </c>
      <c r="B5006" s="1" t="s">
        <v>15895</v>
      </c>
      <c r="C5006" s="1" t="s">
        <v>15894</v>
      </c>
      <c r="D5006" s="1" t="s">
        <v>15590</v>
      </c>
    </row>
    <row r="5007" spans="1:7" x14ac:dyDescent="0.3">
      <c r="A5007" s="1" t="s">
        <v>680</v>
      </c>
      <c r="B5007" s="1" t="s">
        <v>15896</v>
      </c>
      <c r="D5007" s="1" t="s">
        <v>15590</v>
      </c>
      <c r="F5007" s="1" t="s">
        <v>15897</v>
      </c>
    </row>
    <row r="5008" spans="1:7" x14ac:dyDescent="0.3">
      <c r="A5008" s="1" t="s">
        <v>680</v>
      </c>
      <c r="B5008" s="1" t="s">
        <v>15898</v>
      </c>
      <c r="C5008" s="1" t="s">
        <v>15899</v>
      </c>
      <c r="D5008" s="1" t="s">
        <v>15590</v>
      </c>
      <c r="F5008" s="1" t="s">
        <v>15748</v>
      </c>
      <c r="G5008" s="1" t="s">
        <v>15900</v>
      </c>
    </row>
    <row r="5009" spans="1:7" x14ac:dyDescent="0.3">
      <c r="A5009" s="1" t="s">
        <v>680</v>
      </c>
      <c r="B5009" s="1" t="s">
        <v>15901</v>
      </c>
      <c r="C5009" s="1" t="s">
        <v>15902</v>
      </c>
      <c r="D5009" s="1" t="s">
        <v>15590</v>
      </c>
      <c r="G5009" s="1" t="s">
        <v>15903</v>
      </c>
    </row>
    <row r="5010" spans="1:7" x14ac:dyDescent="0.3">
      <c r="A5010" s="1" t="s">
        <v>680</v>
      </c>
      <c r="B5010" s="1" t="s">
        <v>15904</v>
      </c>
      <c r="C5010" s="1" t="s">
        <v>15905</v>
      </c>
      <c r="D5010" s="1" t="s">
        <v>15590</v>
      </c>
      <c r="F5010" s="1" t="s">
        <v>15906</v>
      </c>
    </row>
    <row r="5011" spans="1:7" x14ac:dyDescent="0.3">
      <c r="A5011" s="1" t="s">
        <v>680</v>
      </c>
      <c r="B5011" s="1" t="s">
        <v>15907</v>
      </c>
      <c r="C5011" s="1" t="s">
        <v>15908</v>
      </c>
      <c r="D5011" s="1" t="s">
        <v>15590</v>
      </c>
    </row>
    <row r="5012" spans="1:7" x14ac:dyDescent="0.3">
      <c r="A5012" s="1" t="s">
        <v>680</v>
      </c>
      <c r="B5012" s="1" t="s">
        <v>15909</v>
      </c>
      <c r="C5012" s="1" t="s">
        <v>15845</v>
      </c>
      <c r="D5012" s="1" t="s">
        <v>15590</v>
      </c>
    </row>
    <row r="5013" spans="1:7" x14ac:dyDescent="0.3">
      <c r="A5013" s="1" t="s">
        <v>680</v>
      </c>
      <c r="B5013" s="1" t="s">
        <v>15910</v>
      </c>
      <c r="C5013" s="1" t="s">
        <v>15824</v>
      </c>
      <c r="D5013" s="1" t="s">
        <v>15590</v>
      </c>
    </row>
    <row r="5014" spans="1:7" x14ac:dyDescent="0.3">
      <c r="A5014" s="1" t="s">
        <v>680</v>
      </c>
      <c r="B5014" s="1" t="s">
        <v>15911</v>
      </c>
      <c r="C5014" s="1" t="s">
        <v>15912</v>
      </c>
      <c r="D5014" s="1" t="s">
        <v>15590</v>
      </c>
    </row>
    <row r="5015" spans="1:7" x14ac:dyDescent="0.3">
      <c r="A5015" s="1" t="s">
        <v>680</v>
      </c>
      <c r="B5015" s="1" t="s">
        <v>15913</v>
      </c>
      <c r="C5015" s="1" t="s">
        <v>15824</v>
      </c>
      <c r="D5015" s="1" t="s">
        <v>15590</v>
      </c>
    </row>
    <row r="5016" spans="1:7" x14ac:dyDescent="0.3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</row>
    <row r="5017" spans="1:7" x14ac:dyDescent="0.3">
      <c r="A5017" s="1" t="s">
        <v>680</v>
      </c>
      <c r="B5017" s="1" t="s">
        <v>15916</v>
      </c>
      <c r="D5017" s="1" t="s">
        <v>15590</v>
      </c>
    </row>
    <row r="5018" spans="1:7" x14ac:dyDescent="0.3">
      <c r="A5018" s="1" t="s">
        <v>680</v>
      </c>
      <c r="B5018" s="1" t="s">
        <v>702</v>
      </c>
      <c r="C5018" s="1" t="s">
        <v>15917</v>
      </c>
      <c r="D5018" s="1" t="s">
        <v>15590</v>
      </c>
      <c r="F5018" s="1" t="s">
        <v>15918</v>
      </c>
      <c r="G5018" s="1" t="s">
        <v>5940</v>
      </c>
    </row>
    <row r="5019" spans="1:7" x14ac:dyDescent="0.3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 x14ac:dyDescent="0.3">
      <c r="A5020" s="1" t="s">
        <v>680</v>
      </c>
      <c r="B5020" s="1" t="s">
        <v>15924</v>
      </c>
      <c r="C5020" s="1" t="s">
        <v>15824</v>
      </c>
      <c r="D5020" s="1" t="s">
        <v>15590</v>
      </c>
      <c r="F5020" s="1" t="s">
        <v>15925</v>
      </c>
    </row>
    <row r="5021" spans="1:7" x14ac:dyDescent="0.3">
      <c r="A5021" s="1" t="s">
        <v>680</v>
      </c>
      <c r="B5021" s="1" t="s">
        <v>15926</v>
      </c>
      <c r="C5021" s="1" t="s">
        <v>15824</v>
      </c>
      <c r="D5021" s="1" t="s">
        <v>15590</v>
      </c>
    </row>
    <row r="5022" spans="1:7" x14ac:dyDescent="0.3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</row>
    <row r="5023" spans="1:7" x14ac:dyDescent="0.3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 x14ac:dyDescent="0.3">
      <c r="A5024" s="1" t="s">
        <v>680</v>
      </c>
      <c r="B5024" s="1" t="s">
        <v>15933</v>
      </c>
      <c r="D5024" s="1" t="s">
        <v>15590</v>
      </c>
    </row>
    <row r="5025" spans="1:7" x14ac:dyDescent="0.3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</row>
    <row r="5026" spans="1:7" x14ac:dyDescent="0.3">
      <c r="A5026" s="1" t="s">
        <v>30</v>
      </c>
      <c r="B5026" s="1" t="s">
        <v>15935</v>
      </c>
      <c r="C5026" s="1" t="s">
        <v>15936</v>
      </c>
      <c r="D5026" s="1" t="s">
        <v>15590</v>
      </c>
      <c r="F5026" s="1" t="s">
        <v>15937</v>
      </c>
      <c r="G5026" s="1" t="s">
        <v>15938</v>
      </c>
    </row>
    <row r="5027" spans="1:7" x14ac:dyDescent="0.3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G5027" s="1" t="s">
        <v>15941</v>
      </c>
    </row>
    <row r="5028" spans="1:7" x14ac:dyDescent="0.3">
      <c r="A5028" s="1" t="s">
        <v>680</v>
      </c>
      <c r="B5028" s="1" t="s">
        <v>15942</v>
      </c>
      <c r="D5028" s="1" t="s">
        <v>15590</v>
      </c>
    </row>
    <row r="5029" spans="1:7" x14ac:dyDescent="0.3">
      <c r="A5029" s="1" t="s">
        <v>680</v>
      </c>
      <c r="B5029" s="1" t="s">
        <v>15943</v>
      </c>
      <c r="C5029" s="1" t="s">
        <v>15944</v>
      </c>
      <c r="D5029" s="1" t="s">
        <v>15590</v>
      </c>
      <c r="F5029" s="1" t="s">
        <v>15945</v>
      </c>
      <c r="G5029" s="1" t="s">
        <v>15946</v>
      </c>
    </row>
    <row r="5030" spans="1:7" x14ac:dyDescent="0.3">
      <c r="A5030" s="1" t="s">
        <v>30</v>
      </c>
      <c r="B5030" s="1" t="s">
        <v>15947</v>
      </c>
      <c r="C5030" s="1" t="s">
        <v>15948</v>
      </c>
      <c r="D5030" s="1" t="s">
        <v>15590</v>
      </c>
      <c r="G5030" s="1" t="s">
        <v>15949</v>
      </c>
    </row>
    <row r="5031" spans="1:7" x14ac:dyDescent="0.3">
      <c r="A5031" s="1" t="s">
        <v>680</v>
      </c>
      <c r="B5031" s="1" t="s">
        <v>15950</v>
      </c>
      <c r="D5031" s="1" t="s">
        <v>15590</v>
      </c>
      <c r="F5031" s="1" t="s">
        <v>15726</v>
      </c>
      <c r="G5031" s="1" t="s">
        <v>15727</v>
      </c>
    </row>
    <row r="5032" spans="1:7" x14ac:dyDescent="0.3">
      <c r="A5032" s="1" t="s">
        <v>30</v>
      </c>
      <c r="B5032" s="1" t="s">
        <v>15951</v>
      </c>
      <c r="C5032" s="1" t="s">
        <v>15952</v>
      </c>
      <c r="D5032" s="1" t="s">
        <v>15590</v>
      </c>
      <c r="G5032" s="1" t="s">
        <v>15953</v>
      </c>
    </row>
    <row r="5033" spans="1:7" x14ac:dyDescent="0.3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 x14ac:dyDescent="0.3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 x14ac:dyDescent="0.3">
      <c r="A5035" s="1" t="s">
        <v>21</v>
      </c>
      <c r="B5035" s="1" t="s">
        <v>15962</v>
      </c>
      <c r="C5035" s="1" t="s">
        <v>15963</v>
      </c>
      <c r="D5035" s="1" t="s">
        <v>15590</v>
      </c>
      <c r="F5035" s="1" t="s">
        <v>15964</v>
      </c>
      <c r="G5035" s="1" t="s">
        <v>15961</v>
      </c>
    </row>
    <row r="5036" spans="1:7" x14ac:dyDescent="0.3">
      <c r="A5036" s="1" t="s">
        <v>1201</v>
      </c>
      <c r="B5036" s="1" t="s">
        <v>15965</v>
      </c>
      <c r="D5036" s="1" t="s">
        <v>15590</v>
      </c>
      <c r="E5036" s="1" t="s">
        <v>15590</v>
      </c>
      <c r="G5036" s="1" t="s">
        <v>15966</v>
      </c>
    </row>
    <row r="5037" spans="1:7" x14ac:dyDescent="0.3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G5037" s="1" t="s">
        <v>15970</v>
      </c>
    </row>
    <row r="5038" spans="1:7" x14ac:dyDescent="0.3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 x14ac:dyDescent="0.3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 x14ac:dyDescent="0.3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 x14ac:dyDescent="0.3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G5041" s="1" t="s">
        <v>15985</v>
      </c>
    </row>
    <row r="5042" spans="1:7" x14ac:dyDescent="0.3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 x14ac:dyDescent="0.3">
      <c r="A5043" s="1" t="s">
        <v>36</v>
      </c>
      <c r="B5043" s="1" t="s">
        <v>15991</v>
      </c>
      <c r="C5043" s="1" t="s">
        <v>15992</v>
      </c>
      <c r="D5043" s="1" t="s">
        <v>5694</v>
      </c>
      <c r="G5043" s="1" t="s">
        <v>15993</v>
      </c>
    </row>
    <row r="5044" spans="1:7" x14ac:dyDescent="0.3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G5044" s="1" t="s">
        <v>15997</v>
      </c>
    </row>
    <row r="5045" spans="1:7" x14ac:dyDescent="0.3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 x14ac:dyDescent="0.3">
      <c r="A5046" s="1" t="s">
        <v>680</v>
      </c>
      <c r="B5046" s="1" t="s">
        <v>16002</v>
      </c>
      <c r="D5046" s="1" t="s">
        <v>5694</v>
      </c>
      <c r="E5046" s="1" t="s">
        <v>16003</v>
      </c>
    </row>
    <row r="5047" spans="1:7" x14ac:dyDescent="0.3">
      <c r="A5047" s="1" t="s">
        <v>680</v>
      </c>
      <c r="B5047" s="1" t="s">
        <v>16004</v>
      </c>
      <c r="D5047" s="1" t="s">
        <v>5694</v>
      </c>
      <c r="E5047" s="1" t="s">
        <v>16003</v>
      </c>
    </row>
    <row r="5048" spans="1:7" x14ac:dyDescent="0.3">
      <c r="A5048" s="1" t="s">
        <v>680</v>
      </c>
      <c r="B5048" s="1" t="s">
        <v>16005</v>
      </c>
      <c r="D5048" s="1" t="s">
        <v>5694</v>
      </c>
      <c r="E5048" s="1" t="s">
        <v>16003</v>
      </c>
    </row>
    <row r="5049" spans="1:7" x14ac:dyDescent="0.3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 x14ac:dyDescent="0.3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G5050" s="1" t="s">
        <v>16011</v>
      </c>
    </row>
    <row r="5051" spans="1:7" x14ac:dyDescent="0.3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 x14ac:dyDescent="0.3">
      <c r="A5052" s="1" t="s">
        <v>36</v>
      </c>
      <c r="B5052" s="1" t="s">
        <v>16016</v>
      </c>
      <c r="C5052" s="1" t="s">
        <v>16017</v>
      </c>
      <c r="D5052" s="1" t="s">
        <v>5694</v>
      </c>
      <c r="G5052" s="1" t="s">
        <v>16018</v>
      </c>
    </row>
    <row r="5053" spans="1:7" x14ac:dyDescent="0.3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 x14ac:dyDescent="0.3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 x14ac:dyDescent="0.3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 x14ac:dyDescent="0.3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 x14ac:dyDescent="0.3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 x14ac:dyDescent="0.3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G5058" s="1" t="s">
        <v>16037</v>
      </c>
    </row>
    <row r="5059" spans="1:7" x14ac:dyDescent="0.3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G5059" s="1" t="s">
        <v>16040</v>
      </c>
    </row>
    <row r="5060" spans="1:7" x14ac:dyDescent="0.3">
      <c r="A5060" s="1" t="s">
        <v>30</v>
      </c>
      <c r="B5060" s="1" t="s">
        <v>16041</v>
      </c>
      <c r="C5060" s="1" t="s">
        <v>16042</v>
      </c>
      <c r="D5060" s="1" t="s">
        <v>5694</v>
      </c>
      <c r="G5060" s="1" t="s">
        <v>16043</v>
      </c>
    </row>
    <row r="5061" spans="1:7" x14ac:dyDescent="0.3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 x14ac:dyDescent="0.3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 x14ac:dyDescent="0.3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</row>
    <row r="5064" spans="1:7" x14ac:dyDescent="0.3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</row>
    <row r="5065" spans="1:7" x14ac:dyDescent="0.3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 x14ac:dyDescent="0.3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G5066" s="1" t="s">
        <v>16064</v>
      </c>
    </row>
    <row r="5067" spans="1:7" x14ac:dyDescent="0.3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 x14ac:dyDescent="0.3">
      <c r="A5068" s="1" t="s">
        <v>30</v>
      </c>
      <c r="B5068" s="1" t="s">
        <v>16070</v>
      </c>
      <c r="C5068" s="1" t="s">
        <v>16071</v>
      </c>
      <c r="D5068" s="1" t="s">
        <v>16046</v>
      </c>
      <c r="F5068" s="1" t="s">
        <v>16072</v>
      </c>
      <c r="G5068" s="1" t="s">
        <v>16073</v>
      </c>
    </row>
    <row r="5069" spans="1:7" x14ac:dyDescent="0.3">
      <c r="A5069" s="1" t="s">
        <v>36</v>
      </c>
      <c r="B5069" s="1" t="s">
        <v>16074</v>
      </c>
      <c r="C5069" s="1" t="s">
        <v>16075</v>
      </c>
      <c r="D5069" s="1" t="s">
        <v>16046</v>
      </c>
    </row>
    <row r="5070" spans="1:7" x14ac:dyDescent="0.3">
      <c r="A5070" s="1" t="s">
        <v>36</v>
      </c>
      <c r="B5070" s="1" t="s">
        <v>16076</v>
      </c>
      <c r="C5070" s="1" t="s">
        <v>16077</v>
      </c>
      <c r="D5070" s="1" t="s">
        <v>16046</v>
      </c>
      <c r="F5070" s="1" t="s">
        <v>16078</v>
      </c>
      <c r="G5070" s="1" t="s">
        <v>16079</v>
      </c>
    </row>
    <row r="5071" spans="1:7" x14ac:dyDescent="0.3">
      <c r="A5071" s="1" t="s">
        <v>30</v>
      </c>
      <c r="B5071" s="1" t="s">
        <v>16080</v>
      </c>
      <c r="C5071" s="1" t="s">
        <v>16081</v>
      </c>
      <c r="D5071" s="1" t="s">
        <v>16046</v>
      </c>
      <c r="F5071" s="1" t="s">
        <v>16082</v>
      </c>
      <c r="G5071" s="1" t="s">
        <v>16083</v>
      </c>
    </row>
    <row r="5072" spans="1:7" x14ac:dyDescent="0.3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G5072" s="1" t="s">
        <v>16086</v>
      </c>
    </row>
    <row r="5073" spans="1:7" x14ac:dyDescent="0.3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G5073" s="1" t="s">
        <v>16086</v>
      </c>
    </row>
    <row r="5074" spans="1:7" x14ac:dyDescent="0.3">
      <c r="A5074" s="1" t="s">
        <v>89</v>
      </c>
      <c r="B5074" s="1" t="s">
        <v>138</v>
      </c>
      <c r="D5074" s="1" t="s">
        <v>16089</v>
      </c>
      <c r="E5074" s="1" t="s">
        <v>16090</v>
      </c>
    </row>
    <row r="5075" spans="1:7" x14ac:dyDescent="0.3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 x14ac:dyDescent="0.3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 x14ac:dyDescent="0.3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 x14ac:dyDescent="0.3">
      <c r="A5078" s="1" t="s">
        <v>36</v>
      </c>
      <c r="B5078" s="1" t="s">
        <v>16104</v>
      </c>
      <c r="C5078" s="1" t="s">
        <v>16105</v>
      </c>
      <c r="D5078" s="1" t="s">
        <v>16089</v>
      </c>
    </row>
    <row r="5079" spans="1:7" x14ac:dyDescent="0.3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G5079" s="1" t="s">
        <v>16108</v>
      </c>
    </row>
    <row r="5080" spans="1:7" x14ac:dyDescent="0.3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 x14ac:dyDescent="0.3">
      <c r="A5081" s="1" t="s">
        <v>36</v>
      </c>
      <c r="B5081" s="1" t="s">
        <v>16112</v>
      </c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 x14ac:dyDescent="0.3">
      <c r="A5082" s="1" t="s">
        <v>36</v>
      </c>
      <c r="B5082" s="1" t="s">
        <v>16115</v>
      </c>
      <c r="C5082" s="1" t="s">
        <v>16116</v>
      </c>
      <c r="D5082" s="1" t="s">
        <v>16089</v>
      </c>
      <c r="F5082" s="1" t="s">
        <v>16117</v>
      </c>
      <c r="G5082" s="1" t="s">
        <v>16118</v>
      </c>
    </row>
    <row r="5083" spans="1:7" x14ac:dyDescent="0.3">
      <c r="A5083" s="1" t="s">
        <v>30</v>
      </c>
      <c r="B5083" s="1" t="s">
        <v>16119</v>
      </c>
      <c r="C5083" s="1" t="s">
        <v>16120</v>
      </c>
      <c r="D5083" s="1" t="s">
        <v>16089</v>
      </c>
      <c r="F5083" s="1" t="s">
        <v>16121</v>
      </c>
      <c r="G5083" s="1" t="s">
        <v>16122</v>
      </c>
    </row>
    <row r="5084" spans="1:7" x14ac:dyDescent="0.3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 x14ac:dyDescent="0.3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 x14ac:dyDescent="0.3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 x14ac:dyDescent="0.3">
      <c r="A5087" s="1" t="s">
        <v>36</v>
      </c>
      <c r="B5087" s="1" t="s">
        <v>8706</v>
      </c>
      <c r="C5087" s="1" t="s">
        <v>16138</v>
      </c>
      <c r="D5087" s="1" t="s">
        <v>16089</v>
      </c>
      <c r="F5087" s="1" t="s">
        <v>16139</v>
      </c>
      <c r="G5087" s="1" t="s">
        <v>16140</v>
      </c>
    </row>
    <row r="5088" spans="1:7" x14ac:dyDescent="0.3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 x14ac:dyDescent="0.3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G5089" s="1" t="s">
        <v>16147</v>
      </c>
    </row>
    <row r="5090" spans="1:7" x14ac:dyDescent="0.3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 x14ac:dyDescent="0.3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 x14ac:dyDescent="0.3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 x14ac:dyDescent="0.3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G5093" s="1" t="s">
        <v>16160</v>
      </c>
    </row>
    <row r="5094" spans="1:7" x14ac:dyDescent="0.3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G5094" s="1" t="s">
        <v>16164</v>
      </c>
    </row>
    <row r="5095" spans="1:7" x14ac:dyDescent="0.3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 x14ac:dyDescent="0.3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G5096" s="1" t="s">
        <v>16168</v>
      </c>
    </row>
    <row r="5097" spans="1:7" x14ac:dyDescent="0.3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 x14ac:dyDescent="0.3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 x14ac:dyDescent="0.3">
      <c r="A5099" s="1" t="s">
        <v>36</v>
      </c>
      <c r="B5099" s="1" t="s">
        <v>16177</v>
      </c>
      <c r="D5099" s="1" t="s">
        <v>16171</v>
      </c>
      <c r="E5099" s="1" t="s">
        <v>16178</v>
      </c>
    </row>
    <row r="5100" spans="1:7" x14ac:dyDescent="0.3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G5100" s="1" t="s">
        <v>16180</v>
      </c>
    </row>
    <row r="5101" spans="1:7" x14ac:dyDescent="0.3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 x14ac:dyDescent="0.3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G5102" s="1" t="s">
        <v>16187</v>
      </c>
    </row>
    <row r="5103" spans="1:7" x14ac:dyDescent="0.3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 x14ac:dyDescent="0.3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G5104" s="1" t="s">
        <v>16194</v>
      </c>
    </row>
    <row r="5105" spans="1:7" x14ac:dyDescent="0.3">
      <c r="A5105" s="1" t="s">
        <v>7</v>
      </c>
      <c r="B5105" s="1" t="s">
        <v>16195</v>
      </c>
      <c r="C5105" s="1" t="s">
        <v>16196</v>
      </c>
      <c r="D5105" s="1" t="s">
        <v>16171</v>
      </c>
      <c r="G5105" s="1" t="s">
        <v>16197</v>
      </c>
    </row>
    <row r="5106" spans="1:7" x14ac:dyDescent="0.3">
      <c r="A5106" s="1" t="s">
        <v>89</v>
      </c>
      <c r="B5106" s="1" t="s">
        <v>138</v>
      </c>
      <c r="D5106" s="1" t="s">
        <v>16171</v>
      </c>
      <c r="E5106" s="1" t="s">
        <v>16198</v>
      </c>
      <c r="G5106" s="1" t="s">
        <v>16199</v>
      </c>
    </row>
    <row r="5107" spans="1:7" x14ac:dyDescent="0.3">
      <c r="A5107" s="1" t="s">
        <v>36</v>
      </c>
      <c r="B5107" s="1" t="s">
        <v>16200</v>
      </c>
      <c r="C5107" s="1" t="s">
        <v>16201</v>
      </c>
      <c r="D5107" s="1" t="s">
        <v>16171</v>
      </c>
      <c r="F5107" s="1" t="s">
        <v>16202</v>
      </c>
      <c r="G5107" s="1" t="s">
        <v>16203</v>
      </c>
    </row>
    <row r="5108" spans="1:7" x14ac:dyDescent="0.3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</row>
    <row r="5109" spans="1:7" x14ac:dyDescent="0.3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 x14ac:dyDescent="0.3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 x14ac:dyDescent="0.3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 x14ac:dyDescent="0.3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 x14ac:dyDescent="0.3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G5113" s="1" t="s">
        <v>15985</v>
      </c>
    </row>
    <row r="5114" spans="1:7" x14ac:dyDescent="0.3">
      <c r="A5114" s="1" t="s">
        <v>7</v>
      </c>
      <c r="B5114" s="1" t="s">
        <v>16225</v>
      </c>
      <c r="C5114" s="1" t="s">
        <v>16226</v>
      </c>
      <c r="D5114" s="1" t="s">
        <v>16208</v>
      </c>
      <c r="F5114" s="1" t="s">
        <v>16227</v>
      </c>
      <c r="G5114" s="1" t="s">
        <v>16228</v>
      </c>
    </row>
    <row r="5115" spans="1:7" x14ac:dyDescent="0.3">
      <c r="A5115" s="1" t="s">
        <v>30</v>
      </c>
      <c r="B5115" s="1" t="s">
        <v>16229</v>
      </c>
      <c r="C5115" s="1" t="s">
        <v>16230</v>
      </c>
      <c r="D5115" s="1" t="s">
        <v>16208</v>
      </c>
      <c r="G5115" s="1" t="s">
        <v>16231</v>
      </c>
    </row>
    <row r="5116" spans="1:7" x14ac:dyDescent="0.3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 x14ac:dyDescent="0.3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 x14ac:dyDescent="0.3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 x14ac:dyDescent="0.3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 x14ac:dyDescent="0.3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 x14ac:dyDescent="0.3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 x14ac:dyDescent="0.3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 x14ac:dyDescent="0.3">
      <c r="A5123" s="1" t="s">
        <v>30</v>
      </c>
      <c r="B5123" s="1" t="s">
        <v>7129</v>
      </c>
      <c r="C5123" s="1" t="s">
        <v>16260</v>
      </c>
      <c r="D5123" s="1" t="s">
        <v>16208</v>
      </c>
      <c r="G5123" s="1" t="s">
        <v>16261</v>
      </c>
    </row>
    <row r="5124" spans="1:7" x14ac:dyDescent="0.3">
      <c r="A5124" s="1" t="s">
        <v>83</v>
      </c>
      <c r="B5124" s="1" t="s">
        <v>16262</v>
      </c>
      <c r="C5124" s="1" t="s">
        <v>16263</v>
      </c>
      <c r="D5124" s="1" t="s">
        <v>16208</v>
      </c>
      <c r="F5124" s="1" t="s">
        <v>16264</v>
      </c>
      <c r="G5124" s="1" t="s">
        <v>16265</v>
      </c>
    </row>
    <row r="5125" spans="1:7" x14ac:dyDescent="0.3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G5125" s="1" t="s">
        <v>16268</v>
      </c>
    </row>
    <row r="5126" spans="1:7" x14ac:dyDescent="0.3">
      <c r="A5126" s="1" t="s">
        <v>30</v>
      </c>
      <c r="B5126" s="1" t="s">
        <v>16269</v>
      </c>
      <c r="C5126" s="1" t="s">
        <v>16270</v>
      </c>
      <c r="D5126" s="1" t="s">
        <v>16208</v>
      </c>
      <c r="G5126" s="1" t="s">
        <v>16271</v>
      </c>
    </row>
    <row r="5127" spans="1:7" x14ac:dyDescent="0.3">
      <c r="A5127" s="1" t="s">
        <v>30</v>
      </c>
      <c r="B5127" s="1" t="s">
        <v>16272</v>
      </c>
      <c r="C5127" s="1" t="s">
        <v>16273</v>
      </c>
      <c r="D5127" s="1" t="s">
        <v>16208</v>
      </c>
      <c r="F5127" s="1" t="s">
        <v>16274</v>
      </c>
      <c r="G5127" s="1" t="s">
        <v>16275</v>
      </c>
    </row>
    <row r="5128" spans="1:7" x14ac:dyDescent="0.3">
      <c r="A5128" s="1" t="s">
        <v>30</v>
      </c>
      <c r="B5128" s="1" t="s">
        <v>16276</v>
      </c>
      <c r="C5128" s="1" t="s">
        <v>16277</v>
      </c>
      <c r="D5128" s="1" t="s">
        <v>16208</v>
      </c>
      <c r="F5128" s="1" t="s">
        <v>16278</v>
      </c>
      <c r="G5128" s="1" t="s">
        <v>16279</v>
      </c>
    </row>
    <row r="5129" spans="1:7" x14ac:dyDescent="0.3">
      <c r="A5129" s="1" t="s">
        <v>30</v>
      </c>
      <c r="B5129" s="1" t="s">
        <v>16280</v>
      </c>
      <c r="D5129" s="1" t="s">
        <v>16208</v>
      </c>
      <c r="F5129" s="1" t="s">
        <v>1636</v>
      </c>
    </row>
    <row r="5130" spans="1:7" x14ac:dyDescent="0.3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 x14ac:dyDescent="0.3">
      <c r="A5131" s="1" t="s">
        <v>30</v>
      </c>
      <c r="B5131" s="1" t="s">
        <v>16285</v>
      </c>
      <c r="C5131" s="1" t="s">
        <v>16286</v>
      </c>
      <c r="D5131" s="1" t="s">
        <v>16287</v>
      </c>
      <c r="G5131" s="1" t="s">
        <v>16288</v>
      </c>
    </row>
    <row r="5132" spans="1:7" x14ac:dyDescent="0.3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 x14ac:dyDescent="0.3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 x14ac:dyDescent="0.3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 x14ac:dyDescent="0.3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 x14ac:dyDescent="0.3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 x14ac:dyDescent="0.3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</row>
    <row r="5138" spans="1:7" x14ac:dyDescent="0.3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</row>
    <row r="5139" spans="1:7" x14ac:dyDescent="0.3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 x14ac:dyDescent="0.3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</row>
    <row r="5141" spans="1:7" x14ac:dyDescent="0.3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</row>
    <row r="5142" spans="1:7" x14ac:dyDescent="0.3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</row>
    <row r="5143" spans="1:7" x14ac:dyDescent="0.3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</row>
    <row r="5144" spans="1:7" x14ac:dyDescent="0.3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 x14ac:dyDescent="0.3">
      <c r="A5145" s="1" t="s">
        <v>191</v>
      </c>
      <c r="B5145" s="1" t="s">
        <v>16328</v>
      </c>
      <c r="D5145" s="1" t="s">
        <v>16318</v>
      </c>
      <c r="E5145" s="1" t="s">
        <v>16329</v>
      </c>
      <c r="G5145" s="1" t="s">
        <v>16330</v>
      </c>
    </row>
    <row r="5146" spans="1:7" x14ac:dyDescent="0.3">
      <c r="A5146" s="1" t="s">
        <v>13</v>
      </c>
      <c r="B5146" s="1" t="s">
        <v>16331</v>
      </c>
      <c r="D5146" s="1" t="s">
        <v>16318</v>
      </c>
      <c r="E5146" s="1" t="s">
        <v>16332</v>
      </c>
      <c r="G5146" s="1" t="s">
        <v>16333</v>
      </c>
    </row>
    <row r="5147" spans="1:7" x14ac:dyDescent="0.3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 x14ac:dyDescent="0.3">
      <c r="A5148" s="1" t="s">
        <v>36</v>
      </c>
      <c r="B5148" s="1" t="s">
        <v>16338</v>
      </c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 x14ac:dyDescent="0.3">
      <c r="A5149" s="1" t="s">
        <v>36</v>
      </c>
      <c r="B5149" s="1" t="s">
        <v>16342</v>
      </c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 x14ac:dyDescent="0.3">
      <c r="A5150" s="1" t="s">
        <v>83</v>
      </c>
      <c r="B5150" s="1" t="s">
        <v>3271</v>
      </c>
      <c r="D5150" s="1" t="s">
        <v>16318</v>
      </c>
    </row>
    <row r="5151" spans="1:7" x14ac:dyDescent="0.3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 x14ac:dyDescent="0.3">
      <c r="A5152" s="1" t="s">
        <v>7</v>
      </c>
      <c r="B5152" s="1" t="s">
        <v>16351</v>
      </c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 x14ac:dyDescent="0.3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G5153" s="1" t="s">
        <v>16357</v>
      </c>
    </row>
    <row r="5154" spans="1:7" x14ac:dyDescent="0.3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 x14ac:dyDescent="0.3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 x14ac:dyDescent="0.3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 x14ac:dyDescent="0.3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G5157" s="1" t="s">
        <v>16372</v>
      </c>
    </row>
    <row r="5158" spans="1:7" x14ac:dyDescent="0.3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 x14ac:dyDescent="0.3">
      <c r="A5159" s="1" t="s">
        <v>191</v>
      </c>
      <c r="B5159" s="1" t="s">
        <v>16377</v>
      </c>
      <c r="D5159" s="1" t="s">
        <v>16318</v>
      </c>
      <c r="E5159" s="1" t="s">
        <v>16377</v>
      </c>
    </row>
    <row r="5160" spans="1:7" x14ac:dyDescent="0.3">
      <c r="A5160" s="1" t="s">
        <v>191</v>
      </c>
      <c r="B5160" s="1" t="s">
        <v>16378</v>
      </c>
      <c r="D5160" s="1" t="s">
        <v>16318</v>
      </c>
      <c r="E5160" s="1" t="s">
        <v>16379</v>
      </c>
    </row>
    <row r="5161" spans="1:7" x14ac:dyDescent="0.3">
      <c r="A5161" s="1" t="s">
        <v>191</v>
      </c>
      <c r="B5161" s="1" t="s">
        <v>6929</v>
      </c>
      <c r="D5161" s="1" t="s">
        <v>16318</v>
      </c>
      <c r="E5161" s="1" t="s">
        <v>6929</v>
      </c>
    </row>
    <row r="5162" spans="1:7" x14ac:dyDescent="0.3">
      <c r="A5162" s="1" t="s">
        <v>191</v>
      </c>
      <c r="B5162" s="1" t="s">
        <v>16380</v>
      </c>
      <c r="D5162" s="1" t="s">
        <v>16318</v>
      </c>
    </row>
    <row r="5163" spans="1:7" x14ac:dyDescent="0.3">
      <c r="A5163" s="1" t="s">
        <v>191</v>
      </c>
      <c r="B5163" s="1" t="s">
        <v>16381</v>
      </c>
      <c r="D5163" s="1" t="s">
        <v>16318</v>
      </c>
      <c r="E5163" s="1" t="s">
        <v>1884</v>
      </c>
    </row>
    <row r="5164" spans="1:7" x14ac:dyDescent="0.3">
      <c r="A5164" s="1" t="s">
        <v>191</v>
      </c>
      <c r="B5164" s="1" t="s">
        <v>16382</v>
      </c>
      <c r="D5164" s="1" t="s">
        <v>16318</v>
      </c>
      <c r="E5164" s="1" t="s">
        <v>16382</v>
      </c>
      <c r="G5164" s="1" t="s">
        <v>16383</v>
      </c>
    </row>
    <row r="5165" spans="1:7" x14ac:dyDescent="0.3">
      <c r="A5165" s="1" t="s">
        <v>301</v>
      </c>
      <c r="B5165" s="1" t="s">
        <v>16384</v>
      </c>
      <c r="D5165" s="1" t="s">
        <v>16318</v>
      </c>
    </row>
    <row r="5166" spans="1:7" x14ac:dyDescent="0.3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</row>
    <row r="5167" spans="1:7" x14ac:dyDescent="0.3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 x14ac:dyDescent="0.3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 x14ac:dyDescent="0.3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 x14ac:dyDescent="0.3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 x14ac:dyDescent="0.3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G5171" s="1" t="s">
        <v>16403</v>
      </c>
    </row>
    <row r="5172" spans="1:7" x14ac:dyDescent="0.3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 x14ac:dyDescent="0.3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 x14ac:dyDescent="0.3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G5174" s="1" t="s">
        <v>16414</v>
      </c>
    </row>
    <row r="5175" spans="1:7" x14ac:dyDescent="0.3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 x14ac:dyDescent="0.3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 x14ac:dyDescent="0.3">
      <c r="A5177" s="1" t="s">
        <v>30</v>
      </c>
      <c r="B5177" s="1" t="s">
        <v>16422</v>
      </c>
      <c r="C5177" s="1" t="s">
        <v>16423</v>
      </c>
      <c r="D5177" s="1" t="s">
        <v>16402</v>
      </c>
      <c r="F5177" s="1" t="s">
        <v>16424</v>
      </c>
      <c r="G5177" s="1" t="s">
        <v>16425</v>
      </c>
    </row>
    <row r="5178" spans="1:7" x14ac:dyDescent="0.3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G5178" s="1" t="s">
        <v>16428</v>
      </c>
    </row>
    <row r="5179" spans="1:7" x14ac:dyDescent="0.3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G5179" s="1" t="s">
        <v>16431</v>
      </c>
    </row>
    <row r="5180" spans="1:7" x14ac:dyDescent="0.3">
      <c r="A5180" s="1" t="s">
        <v>21</v>
      </c>
      <c r="B5180" s="1" t="s">
        <v>16432</v>
      </c>
      <c r="C5180" s="1" t="s">
        <v>16433</v>
      </c>
      <c r="D5180" s="1" t="s">
        <v>16402</v>
      </c>
      <c r="F5180" s="1" t="s">
        <v>16434</v>
      </c>
      <c r="G5180" s="1" t="s">
        <v>16435</v>
      </c>
    </row>
    <row r="5181" spans="1:7" x14ac:dyDescent="0.3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 x14ac:dyDescent="0.3">
      <c r="A5182" s="1" t="s">
        <v>83</v>
      </c>
      <c r="B5182" s="1" t="s">
        <v>16440</v>
      </c>
      <c r="C5182" s="1" t="s">
        <v>16441</v>
      </c>
      <c r="D5182" s="1" t="s">
        <v>16402</v>
      </c>
      <c r="F5182" s="1" t="s">
        <v>16442</v>
      </c>
      <c r="G5182" s="1" t="s">
        <v>16443</v>
      </c>
    </row>
    <row r="5183" spans="1:7" x14ac:dyDescent="0.3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 x14ac:dyDescent="0.3">
      <c r="A5184" s="1" t="s">
        <v>89</v>
      </c>
      <c r="B5184" s="1" t="s">
        <v>16450</v>
      </c>
      <c r="D5184" s="1" t="s">
        <v>16446</v>
      </c>
      <c r="E5184" s="1" t="s">
        <v>16451</v>
      </c>
      <c r="G5184" s="1" t="s">
        <v>16452</v>
      </c>
    </row>
    <row r="5185" spans="1:7" x14ac:dyDescent="0.3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 x14ac:dyDescent="0.3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</row>
    <row r="5187" spans="1:7" x14ac:dyDescent="0.3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 x14ac:dyDescent="0.3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G5188" s="1" t="s">
        <v>16465</v>
      </c>
    </row>
    <row r="5189" spans="1:7" x14ac:dyDescent="0.3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 x14ac:dyDescent="0.3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G5190" s="1" t="s">
        <v>16473</v>
      </c>
    </row>
    <row r="5191" spans="1:7" x14ac:dyDescent="0.3">
      <c r="A5191" s="1" t="s">
        <v>30</v>
      </c>
      <c r="B5191" s="1" t="s">
        <v>16474</v>
      </c>
      <c r="C5191" s="1" t="s">
        <v>16475</v>
      </c>
      <c r="D5191" s="1" t="s">
        <v>16446</v>
      </c>
      <c r="F5191" s="1" t="s">
        <v>16476</v>
      </c>
      <c r="G5191" s="1" t="s">
        <v>16477</v>
      </c>
    </row>
    <row r="5192" spans="1:7" x14ac:dyDescent="0.3">
      <c r="A5192" s="1" t="s">
        <v>13</v>
      </c>
      <c r="B5192" s="1" t="s">
        <v>16478</v>
      </c>
      <c r="C5192" s="1" t="s">
        <v>16479</v>
      </c>
      <c r="D5192" s="1" t="s">
        <v>16446</v>
      </c>
      <c r="G5192" s="1" t="s">
        <v>16480</v>
      </c>
    </row>
    <row r="5193" spans="1:7" x14ac:dyDescent="0.3">
      <c r="A5193" s="1" t="s">
        <v>13</v>
      </c>
      <c r="B5193" s="1" t="s">
        <v>16481</v>
      </c>
      <c r="C5193" s="1" t="s">
        <v>16482</v>
      </c>
      <c r="D5193" s="1" t="s">
        <v>16446</v>
      </c>
      <c r="G5193" s="1" t="s">
        <v>16483</v>
      </c>
    </row>
    <row r="5194" spans="1:7" x14ac:dyDescent="0.3">
      <c r="A5194" s="1" t="s">
        <v>30</v>
      </c>
      <c r="B5194" s="1" t="s">
        <v>16484</v>
      </c>
      <c r="C5194" s="1" t="s">
        <v>16485</v>
      </c>
      <c r="D5194" s="1" t="s">
        <v>16446</v>
      </c>
      <c r="F5194" s="1" t="s">
        <v>16486</v>
      </c>
      <c r="G5194" s="1" t="s">
        <v>16487</v>
      </c>
    </row>
    <row r="5195" spans="1:7" x14ac:dyDescent="0.3">
      <c r="A5195" s="1" t="s">
        <v>83</v>
      </c>
      <c r="B5195" s="1" t="s">
        <v>16488</v>
      </c>
      <c r="D5195" s="1" t="s">
        <v>16446</v>
      </c>
      <c r="E5195" s="1" t="s">
        <v>16489</v>
      </c>
      <c r="G5195" s="1" t="s">
        <v>16490</v>
      </c>
    </row>
    <row r="5196" spans="1:7" x14ac:dyDescent="0.3">
      <c r="A5196" s="1" t="s">
        <v>13</v>
      </c>
      <c r="B5196" s="1" t="s">
        <v>16491</v>
      </c>
      <c r="C5196" s="1" t="s">
        <v>16492</v>
      </c>
      <c r="D5196" s="1" t="s">
        <v>16446</v>
      </c>
      <c r="G5196" s="1" t="s">
        <v>16493</v>
      </c>
    </row>
    <row r="5197" spans="1:7" x14ac:dyDescent="0.3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G5197" s="1" t="s">
        <v>16497</v>
      </c>
    </row>
    <row r="5198" spans="1:7" x14ac:dyDescent="0.3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 x14ac:dyDescent="0.3">
      <c r="A5199" s="1" t="s">
        <v>30</v>
      </c>
      <c r="B5199" s="1" t="s">
        <v>16503</v>
      </c>
      <c r="C5199" s="1" t="s">
        <v>16504</v>
      </c>
      <c r="D5199" s="1" t="s">
        <v>16446</v>
      </c>
      <c r="F5199" s="1" t="s">
        <v>16505</v>
      </c>
      <c r="G5199" s="1" t="s">
        <v>16506</v>
      </c>
    </row>
    <row r="5200" spans="1:7" x14ac:dyDescent="0.3">
      <c r="A5200" s="1" t="s">
        <v>30</v>
      </c>
      <c r="B5200" s="1" t="s">
        <v>6552</v>
      </c>
      <c r="C5200" s="1" t="s">
        <v>16507</v>
      </c>
      <c r="D5200" s="1" t="s">
        <v>16446</v>
      </c>
      <c r="F5200" s="1" t="s">
        <v>16508</v>
      </c>
      <c r="G5200" s="1" t="s">
        <v>16509</v>
      </c>
    </row>
    <row r="5201" spans="1:7" x14ac:dyDescent="0.3">
      <c r="A5201" s="1" t="s">
        <v>30</v>
      </c>
      <c r="B5201" s="1" t="s">
        <v>16510</v>
      </c>
      <c r="C5201" s="1" t="s">
        <v>16511</v>
      </c>
      <c r="D5201" s="1" t="s">
        <v>16446</v>
      </c>
      <c r="F5201" s="1" t="s">
        <v>16512</v>
      </c>
      <c r="G5201" s="1" t="s">
        <v>16513</v>
      </c>
    </row>
    <row r="5202" spans="1:7" x14ac:dyDescent="0.3">
      <c r="A5202" s="1" t="s">
        <v>83</v>
      </c>
      <c r="B5202" s="1" t="s">
        <v>16514</v>
      </c>
      <c r="C5202" s="1" t="s">
        <v>16515</v>
      </c>
      <c r="D5202" s="1" t="s">
        <v>16446</v>
      </c>
      <c r="F5202" s="1" t="s">
        <v>16516</v>
      </c>
      <c r="G5202" s="1" t="s">
        <v>16517</v>
      </c>
    </row>
    <row r="5203" spans="1:7" x14ac:dyDescent="0.3">
      <c r="A5203" s="1" t="s">
        <v>83</v>
      </c>
      <c r="B5203" s="1" t="s">
        <v>16518</v>
      </c>
      <c r="C5203" s="1" t="s">
        <v>16519</v>
      </c>
      <c r="D5203" s="1" t="s">
        <v>16446</v>
      </c>
      <c r="G5203" s="1" t="s">
        <v>16520</v>
      </c>
    </row>
    <row r="5204" spans="1:7" x14ac:dyDescent="0.3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 x14ac:dyDescent="0.3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 x14ac:dyDescent="0.3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 x14ac:dyDescent="0.3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 x14ac:dyDescent="0.3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</row>
    <row r="5209" spans="1:7" x14ac:dyDescent="0.3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 x14ac:dyDescent="0.3">
      <c r="A5210" s="1" t="s">
        <v>36</v>
      </c>
      <c r="B5210" s="1" t="s">
        <v>16539</v>
      </c>
      <c r="D5210" s="1" t="s">
        <v>16446</v>
      </c>
      <c r="E5210" s="1" t="s">
        <v>16540</v>
      </c>
    </row>
    <row r="5211" spans="1:7" x14ac:dyDescent="0.3">
      <c r="A5211" s="1" t="s">
        <v>36</v>
      </c>
      <c r="B5211" s="1" t="s">
        <v>16541</v>
      </c>
      <c r="D5211" s="1" t="s">
        <v>16446</v>
      </c>
    </row>
    <row r="5212" spans="1:7" x14ac:dyDescent="0.3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 x14ac:dyDescent="0.3">
      <c r="A5213" s="1" t="s">
        <v>83</v>
      </c>
      <c r="B5213" s="1" t="s">
        <v>16547</v>
      </c>
      <c r="C5213" s="1" t="s">
        <v>16548</v>
      </c>
      <c r="D5213" s="1" t="s">
        <v>16446</v>
      </c>
      <c r="G5213" s="1" t="s">
        <v>16549</v>
      </c>
    </row>
    <row r="5214" spans="1:7" x14ac:dyDescent="0.3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G5214" s="1" t="s">
        <v>16553</v>
      </c>
    </row>
    <row r="5215" spans="1:7" x14ac:dyDescent="0.3">
      <c r="A5215" s="1" t="s">
        <v>30</v>
      </c>
      <c r="B5215" s="1" t="s">
        <v>16554</v>
      </c>
      <c r="C5215" s="1" t="s">
        <v>16555</v>
      </c>
      <c r="D5215" s="1" t="s">
        <v>16446</v>
      </c>
      <c r="G5215" s="1" t="s">
        <v>16556</v>
      </c>
    </row>
    <row r="5216" spans="1:7" x14ac:dyDescent="0.3">
      <c r="A5216" s="1" t="s">
        <v>83</v>
      </c>
      <c r="B5216" s="1" t="s">
        <v>16557</v>
      </c>
      <c r="C5216" s="1" t="s">
        <v>16558</v>
      </c>
      <c r="D5216" s="1" t="s">
        <v>16446</v>
      </c>
      <c r="G5216" s="1" t="s">
        <v>16559</v>
      </c>
    </row>
    <row r="5217" spans="1:7" x14ac:dyDescent="0.3">
      <c r="A5217" s="1" t="s">
        <v>13</v>
      </c>
      <c r="B5217" s="1" t="s">
        <v>16560</v>
      </c>
      <c r="C5217" s="1" t="s">
        <v>16561</v>
      </c>
      <c r="D5217" s="1" t="s">
        <v>16446</v>
      </c>
      <c r="G5217" s="1" t="s">
        <v>16562</v>
      </c>
    </row>
    <row r="5218" spans="1:7" x14ac:dyDescent="0.3">
      <c r="A5218" s="1" t="s">
        <v>13</v>
      </c>
      <c r="B5218" s="1" t="s">
        <v>16560</v>
      </c>
      <c r="C5218" s="1" t="s">
        <v>16563</v>
      </c>
      <c r="D5218" s="1" t="s">
        <v>16446</v>
      </c>
      <c r="G5218" s="1" t="s">
        <v>16562</v>
      </c>
    </row>
    <row r="5219" spans="1:7" x14ac:dyDescent="0.3">
      <c r="A5219" s="1" t="s">
        <v>83</v>
      </c>
      <c r="B5219" s="1" t="s">
        <v>16564</v>
      </c>
      <c r="C5219" s="1" t="s">
        <v>16565</v>
      </c>
      <c r="D5219" s="1" t="s">
        <v>16446</v>
      </c>
    </row>
    <row r="5220" spans="1:7" x14ac:dyDescent="0.3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G5220" s="1" t="s">
        <v>16568</v>
      </c>
    </row>
    <row r="5221" spans="1:7" x14ac:dyDescent="0.3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G5221" s="1" t="s">
        <v>16571</v>
      </c>
    </row>
    <row r="5222" spans="1:7" x14ac:dyDescent="0.3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</row>
    <row r="5223" spans="1:7" x14ac:dyDescent="0.3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</row>
    <row r="5224" spans="1:7" x14ac:dyDescent="0.3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</row>
    <row r="5225" spans="1:7" x14ac:dyDescent="0.3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G5225" s="1" t="s">
        <v>16580</v>
      </c>
    </row>
    <row r="5226" spans="1:7" x14ac:dyDescent="0.3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G5226" s="1" t="s">
        <v>16583</v>
      </c>
    </row>
    <row r="5227" spans="1:7" x14ac:dyDescent="0.3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G5227" s="1" t="s">
        <v>16483</v>
      </c>
    </row>
    <row r="5228" spans="1:7" x14ac:dyDescent="0.3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 x14ac:dyDescent="0.3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 x14ac:dyDescent="0.3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</row>
    <row r="5231" spans="1:7" x14ac:dyDescent="0.3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 x14ac:dyDescent="0.3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 x14ac:dyDescent="0.3">
      <c r="A5233" s="1" t="s">
        <v>30</v>
      </c>
      <c r="B5233" s="1" t="s">
        <v>16603</v>
      </c>
      <c r="D5233" s="1" t="s">
        <v>16591</v>
      </c>
      <c r="E5233" s="1" t="s">
        <v>16591</v>
      </c>
      <c r="G5233" s="1" t="s">
        <v>16604</v>
      </c>
    </row>
    <row r="5234" spans="1:7" x14ac:dyDescent="0.3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 x14ac:dyDescent="0.3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G5235" s="1" t="s">
        <v>16611</v>
      </c>
    </row>
    <row r="5236" spans="1:7" x14ac:dyDescent="0.3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 x14ac:dyDescent="0.3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 x14ac:dyDescent="0.3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 x14ac:dyDescent="0.3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 x14ac:dyDescent="0.3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</row>
    <row r="5241" spans="1:7" x14ac:dyDescent="0.3">
      <c r="A5241" s="1" t="s">
        <v>30</v>
      </c>
      <c r="B5241" s="1" t="s">
        <v>16630</v>
      </c>
      <c r="C5241" s="1" t="s">
        <v>16631</v>
      </c>
      <c r="D5241" s="1" t="s">
        <v>16591</v>
      </c>
      <c r="G5241" s="1" t="s">
        <v>16632</v>
      </c>
    </row>
    <row r="5242" spans="1:7" x14ac:dyDescent="0.3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 x14ac:dyDescent="0.3">
      <c r="A5243" s="1" t="s">
        <v>30</v>
      </c>
      <c r="B5243" s="1" t="s">
        <v>16638</v>
      </c>
      <c r="C5243" s="1" t="s">
        <v>16639</v>
      </c>
      <c r="D5243" s="1" t="s">
        <v>16591</v>
      </c>
      <c r="F5243" s="1" t="s">
        <v>16640</v>
      </c>
      <c r="G5243" s="1" t="s">
        <v>16641</v>
      </c>
    </row>
    <row r="5244" spans="1:7" x14ac:dyDescent="0.3">
      <c r="A5244" s="1" t="s">
        <v>7</v>
      </c>
      <c r="B5244" s="1" t="s">
        <v>16006</v>
      </c>
      <c r="C5244" s="1" t="s">
        <v>16642</v>
      </c>
      <c r="D5244" s="1" t="s">
        <v>16591</v>
      </c>
      <c r="G5244" s="1" t="s">
        <v>16643</v>
      </c>
    </row>
    <row r="5245" spans="1:7" x14ac:dyDescent="0.3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 x14ac:dyDescent="0.3">
      <c r="A5246" s="1" t="s">
        <v>30</v>
      </c>
      <c r="B5246" s="1" t="s">
        <v>16649</v>
      </c>
      <c r="C5246" s="1" t="s">
        <v>16650</v>
      </c>
      <c r="D5246" s="1" t="s">
        <v>16591</v>
      </c>
      <c r="G5246" s="1" t="s">
        <v>16651</v>
      </c>
    </row>
    <row r="5247" spans="1:7" x14ac:dyDescent="0.3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 x14ac:dyDescent="0.3">
      <c r="A5248" s="1" t="s">
        <v>36</v>
      </c>
      <c r="B5248" s="1" t="s">
        <v>16656</v>
      </c>
      <c r="D5248" s="1" t="s">
        <v>16591</v>
      </c>
      <c r="F5248" s="1" t="s">
        <v>16657</v>
      </c>
      <c r="G5248" s="1" t="s">
        <v>16658</v>
      </c>
    </row>
    <row r="5249" spans="1:7" x14ac:dyDescent="0.3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 x14ac:dyDescent="0.3">
      <c r="A5250" s="1" t="s">
        <v>30</v>
      </c>
      <c r="B5250" s="1" t="s">
        <v>16664</v>
      </c>
      <c r="C5250" s="1" t="s">
        <v>16665</v>
      </c>
      <c r="D5250" s="1" t="s">
        <v>16591</v>
      </c>
      <c r="F5250" s="1" t="s">
        <v>16666</v>
      </c>
      <c r="G5250" s="1" t="s">
        <v>16667</v>
      </c>
    </row>
    <row r="5251" spans="1:7" x14ac:dyDescent="0.3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 x14ac:dyDescent="0.3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 x14ac:dyDescent="0.3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 x14ac:dyDescent="0.3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 x14ac:dyDescent="0.3">
      <c r="A5255" s="1" t="s">
        <v>30</v>
      </c>
      <c r="B5255" s="1" t="s">
        <v>16684</v>
      </c>
      <c r="C5255" s="1" t="s">
        <v>16685</v>
      </c>
      <c r="D5255" s="1" t="s">
        <v>16591</v>
      </c>
    </row>
    <row r="5256" spans="1:7" x14ac:dyDescent="0.3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 x14ac:dyDescent="0.3">
      <c r="A5257" s="1" t="s">
        <v>30</v>
      </c>
      <c r="B5257" s="1" t="s">
        <v>16691</v>
      </c>
      <c r="C5257" s="1" t="s">
        <v>16692</v>
      </c>
      <c r="D5257" s="1" t="s">
        <v>16591</v>
      </c>
      <c r="F5257" s="1" t="s">
        <v>16693</v>
      </c>
      <c r="G5257" s="1" t="s">
        <v>16694</v>
      </c>
    </row>
    <row r="5258" spans="1:7" x14ac:dyDescent="0.3">
      <c r="A5258" s="1" t="s">
        <v>89</v>
      </c>
      <c r="B5258" s="1" t="s">
        <v>138</v>
      </c>
      <c r="D5258" s="1" t="s">
        <v>16591</v>
      </c>
      <c r="E5258" s="1" t="s">
        <v>16695</v>
      </c>
    </row>
    <row r="5259" spans="1:7" x14ac:dyDescent="0.3">
      <c r="A5259" s="1" t="s">
        <v>21</v>
      </c>
      <c r="B5259" s="1" t="s">
        <v>16696</v>
      </c>
      <c r="C5259" s="1" t="s">
        <v>16697</v>
      </c>
      <c r="D5259" s="1" t="s">
        <v>16591</v>
      </c>
      <c r="F5259" s="1" t="s">
        <v>16698</v>
      </c>
      <c r="G5259" s="1" t="s">
        <v>16699</v>
      </c>
    </row>
    <row r="5260" spans="1:7" x14ac:dyDescent="0.3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 x14ac:dyDescent="0.3">
      <c r="A5261" s="1" t="s">
        <v>30</v>
      </c>
      <c r="B5261" s="1" t="s">
        <v>16705</v>
      </c>
      <c r="C5261" s="1" t="s">
        <v>16706</v>
      </c>
      <c r="D5261" s="1" t="s">
        <v>16591</v>
      </c>
      <c r="F5261" s="1" t="s">
        <v>16707</v>
      </c>
      <c r="G5261" s="1" t="s">
        <v>16708</v>
      </c>
    </row>
    <row r="5262" spans="1:7" x14ac:dyDescent="0.3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G5262" s="1" t="s">
        <v>16712</v>
      </c>
    </row>
    <row r="5263" spans="1:7" x14ac:dyDescent="0.3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 x14ac:dyDescent="0.3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G5264" s="1" t="s">
        <v>16690</v>
      </c>
    </row>
    <row r="5265" spans="1:7" x14ac:dyDescent="0.3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G5265" s="1" t="s">
        <v>16723</v>
      </c>
    </row>
    <row r="5266" spans="1:7" x14ac:dyDescent="0.3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</row>
    <row r="5267" spans="1:7" x14ac:dyDescent="0.3">
      <c r="A5267" s="1" t="s">
        <v>30</v>
      </c>
      <c r="B5267" s="1" t="s">
        <v>16726</v>
      </c>
      <c r="C5267" s="1" t="s">
        <v>16727</v>
      </c>
      <c r="D5267" s="1" t="s">
        <v>16721</v>
      </c>
    </row>
    <row r="5268" spans="1:7" x14ac:dyDescent="0.3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 x14ac:dyDescent="0.3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 x14ac:dyDescent="0.3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 x14ac:dyDescent="0.3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 x14ac:dyDescent="0.3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</row>
    <row r="5273" spans="1:7" x14ac:dyDescent="0.3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 x14ac:dyDescent="0.3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 x14ac:dyDescent="0.3">
      <c r="A5275" s="1" t="s">
        <v>191</v>
      </c>
      <c r="B5275" s="1" t="s">
        <v>16755</v>
      </c>
      <c r="D5275" s="1" t="s">
        <v>16721</v>
      </c>
      <c r="E5275" s="1" t="s">
        <v>16756</v>
      </c>
    </row>
    <row r="5276" spans="1:7" x14ac:dyDescent="0.3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G5276" s="1" t="s">
        <v>16759</v>
      </c>
    </row>
    <row r="5277" spans="1:7" x14ac:dyDescent="0.3">
      <c r="A5277" s="1" t="s">
        <v>30</v>
      </c>
      <c r="B5277" s="1" t="s">
        <v>16760</v>
      </c>
      <c r="C5277" s="1" t="s">
        <v>16761</v>
      </c>
      <c r="D5277" s="1" t="s">
        <v>16721</v>
      </c>
      <c r="F5277" s="1" t="s">
        <v>16762</v>
      </c>
      <c r="G5277" s="1" t="s">
        <v>16763</v>
      </c>
    </row>
    <row r="5278" spans="1:7" x14ac:dyDescent="0.3">
      <c r="A5278" s="1" t="s">
        <v>36</v>
      </c>
      <c r="B5278" s="1" t="s">
        <v>16764</v>
      </c>
      <c r="C5278" s="1" t="s">
        <v>16765</v>
      </c>
      <c r="D5278" s="1" t="s">
        <v>16721</v>
      </c>
      <c r="F5278" s="1" t="s">
        <v>16762</v>
      </c>
      <c r="G5278" s="1" t="s">
        <v>16766</v>
      </c>
    </row>
    <row r="5279" spans="1:7" x14ac:dyDescent="0.3">
      <c r="A5279" s="1" t="s">
        <v>30</v>
      </c>
      <c r="B5279" s="1" t="s">
        <v>16767</v>
      </c>
      <c r="D5279" s="1" t="s">
        <v>16721</v>
      </c>
      <c r="E5279" s="1" t="s">
        <v>16756</v>
      </c>
    </row>
    <row r="5280" spans="1:7" x14ac:dyDescent="0.3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G5280" s="1" t="s">
        <v>16770</v>
      </c>
    </row>
    <row r="5281" spans="1:7" x14ac:dyDescent="0.3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</row>
    <row r="5282" spans="1:7" x14ac:dyDescent="0.3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 x14ac:dyDescent="0.3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G5283" s="1" t="s">
        <v>16780</v>
      </c>
    </row>
    <row r="5284" spans="1:7" x14ac:dyDescent="0.3">
      <c r="A5284" s="1" t="s">
        <v>30</v>
      </c>
      <c r="B5284" s="1" t="s">
        <v>16781</v>
      </c>
      <c r="C5284" s="1" t="s">
        <v>16782</v>
      </c>
      <c r="D5284" s="1" t="s">
        <v>16774</v>
      </c>
      <c r="G5284" s="1" t="s">
        <v>16783</v>
      </c>
    </row>
    <row r="5285" spans="1:7" x14ac:dyDescent="0.3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 x14ac:dyDescent="0.3">
      <c r="A5286" s="1" t="s">
        <v>36</v>
      </c>
      <c r="B5286" s="1" t="s">
        <v>16788</v>
      </c>
      <c r="D5286" s="1" t="s">
        <v>16774</v>
      </c>
      <c r="G5286" s="1" t="s">
        <v>16789</v>
      </c>
    </row>
    <row r="5287" spans="1:7" x14ac:dyDescent="0.3">
      <c r="A5287" s="1" t="s">
        <v>30</v>
      </c>
      <c r="B5287" s="1" t="s">
        <v>16790</v>
      </c>
      <c r="C5287" s="1" t="s">
        <v>16791</v>
      </c>
      <c r="D5287" s="1" t="s">
        <v>16774</v>
      </c>
      <c r="G5287" s="1" t="s">
        <v>16792</v>
      </c>
    </row>
    <row r="5288" spans="1:7" x14ac:dyDescent="0.3">
      <c r="A5288" s="1" t="s">
        <v>30</v>
      </c>
      <c r="B5288" s="1" t="s">
        <v>16793</v>
      </c>
      <c r="C5288" s="1" t="s">
        <v>16794</v>
      </c>
      <c r="D5288" s="1" t="s">
        <v>15825</v>
      </c>
      <c r="F5288" s="1" t="s">
        <v>16795</v>
      </c>
      <c r="G5288" s="1" t="s">
        <v>16796</v>
      </c>
    </row>
    <row r="5289" spans="1:7" x14ac:dyDescent="0.3">
      <c r="A5289" s="1" t="s">
        <v>13</v>
      </c>
      <c r="B5289" s="1" t="s">
        <v>16797</v>
      </c>
      <c r="C5289" s="1" t="s">
        <v>16798</v>
      </c>
      <c r="D5289" s="1" t="s">
        <v>15825</v>
      </c>
    </row>
    <row r="5290" spans="1:7" x14ac:dyDescent="0.3">
      <c r="A5290" s="1" t="s">
        <v>13</v>
      </c>
      <c r="B5290" s="1" t="s">
        <v>16799</v>
      </c>
      <c r="C5290" s="1" t="s">
        <v>16800</v>
      </c>
      <c r="D5290" s="1" t="s">
        <v>15825</v>
      </c>
    </row>
    <row r="5291" spans="1:7" x14ac:dyDescent="0.3">
      <c r="A5291" s="1" t="s">
        <v>30</v>
      </c>
      <c r="B5291" s="1" t="s">
        <v>16801</v>
      </c>
      <c r="C5291" s="1" t="s">
        <v>16802</v>
      </c>
      <c r="D5291" s="1" t="s">
        <v>15825</v>
      </c>
      <c r="F5291" s="1" t="s">
        <v>16803</v>
      </c>
      <c r="G5291" s="1" t="s">
        <v>16804</v>
      </c>
    </row>
    <row r="5292" spans="1:7" x14ac:dyDescent="0.3">
      <c r="A5292" s="1" t="s">
        <v>83</v>
      </c>
      <c r="B5292" s="1" t="s">
        <v>16805</v>
      </c>
      <c r="C5292" s="1" t="s">
        <v>16806</v>
      </c>
      <c r="D5292" s="1" t="s">
        <v>15825</v>
      </c>
      <c r="G5292" s="1" t="s">
        <v>16807</v>
      </c>
    </row>
    <row r="5293" spans="1:7" x14ac:dyDescent="0.3">
      <c r="A5293" s="1" t="s">
        <v>30</v>
      </c>
      <c r="B5293" s="1" t="s">
        <v>16808</v>
      </c>
      <c r="C5293" s="1" t="s">
        <v>16809</v>
      </c>
      <c r="D5293" s="1" t="s">
        <v>15825</v>
      </c>
      <c r="G5293" s="1" t="s">
        <v>16810</v>
      </c>
    </row>
    <row r="5294" spans="1:7" x14ac:dyDescent="0.3">
      <c r="A5294" s="1" t="s">
        <v>30</v>
      </c>
      <c r="B5294" s="1" t="s">
        <v>16811</v>
      </c>
      <c r="C5294" s="1" t="s">
        <v>16812</v>
      </c>
      <c r="D5294" s="1" t="s">
        <v>15825</v>
      </c>
      <c r="G5294" s="1" t="s">
        <v>16813</v>
      </c>
    </row>
    <row r="5295" spans="1:7" x14ac:dyDescent="0.3">
      <c r="A5295" s="1" t="s">
        <v>83</v>
      </c>
      <c r="B5295" s="1" t="s">
        <v>16814</v>
      </c>
      <c r="C5295" s="1" t="s">
        <v>16815</v>
      </c>
      <c r="D5295" s="1" t="s">
        <v>15825</v>
      </c>
      <c r="G5295" s="1" t="s">
        <v>16816</v>
      </c>
    </row>
    <row r="5296" spans="1:7" x14ac:dyDescent="0.3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 x14ac:dyDescent="0.3">
      <c r="A5297" s="1" t="s">
        <v>30</v>
      </c>
      <c r="B5297" s="1" t="s">
        <v>16821</v>
      </c>
      <c r="C5297" s="1" t="s">
        <v>16822</v>
      </c>
      <c r="D5297" s="1" t="s">
        <v>15825</v>
      </c>
      <c r="F5297" s="1" t="s">
        <v>16823</v>
      </c>
      <c r="G5297" s="1" t="s">
        <v>16824</v>
      </c>
    </row>
    <row r="5298" spans="1:7" x14ac:dyDescent="0.3">
      <c r="A5298" s="1" t="s">
        <v>30</v>
      </c>
      <c r="B5298" s="1" t="s">
        <v>16825</v>
      </c>
      <c r="C5298" s="1" t="s">
        <v>16826</v>
      </c>
      <c r="D5298" s="1" t="s">
        <v>15825</v>
      </c>
      <c r="F5298" s="1" t="s">
        <v>16827</v>
      </c>
      <c r="G5298" s="1" t="s">
        <v>16828</v>
      </c>
    </row>
    <row r="5299" spans="1:7" x14ac:dyDescent="0.3">
      <c r="A5299" s="1" t="s">
        <v>30</v>
      </c>
      <c r="B5299" s="1" t="s">
        <v>16829</v>
      </c>
      <c r="C5299" s="1" t="s">
        <v>16830</v>
      </c>
      <c r="D5299" s="1" t="s">
        <v>15825</v>
      </c>
      <c r="F5299" s="1" t="s">
        <v>16831</v>
      </c>
      <c r="G5299" s="1" t="s">
        <v>16832</v>
      </c>
    </row>
    <row r="5300" spans="1:7" x14ac:dyDescent="0.3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 x14ac:dyDescent="0.3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 x14ac:dyDescent="0.3">
      <c r="A5302" s="1" t="s">
        <v>30</v>
      </c>
      <c r="B5302" s="1" t="s">
        <v>16840</v>
      </c>
      <c r="C5302" s="1" t="s">
        <v>16841</v>
      </c>
      <c r="D5302" s="1" t="s">
        <v>15825</v>
      </c>
      <c r="G5302" s="1" t="s">
        <v>16842</v>
      </c>
    </row>
    <row r="5303" spans="1:7" x14ac:dyDescent="0.3">
      <c r="A5303" s="1" t="s">
        <v>83</v>
      </c>
      <c r="B5303" s="1" t="s">
        <v>16843</v>
      </c>
      <c r="C5303" s="1" t="s">
        <v>16844</v>
      </c>
      <c r="D5303" s="1" t="s">
        <v>15825</v>
      </c>
      <c r="G5303" s="1" t="s">
        <v>16845</v>
      </c>
    </row>
    <row r="5304" spans="1:7" x14ac:dyDescent="0.3">
      <c r="A5304" s="1" t="s">
        <v>30</v>
      </c>
      <c r="B5304" s="1" t="s">
        <v>16846</v>
      </c>
      <c r="C5304" s="1" t="s">
        <v>15143</v>
      </c>
      <c r="D5304" s="1" t="s">
        <v>15825</v>
      </c>
      <c r="G5304" s="1" t="s">
        <v>16847</v>
      </c>
    </row>
    <row r="5305" spans="1:7" x14ac:dyDescent="0.3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G5305" s="1" t="s">
        <v>16850</v>
      </c>
    </row>
    <row r="5306" spans="1:7" x14ac:dyDescent="0.3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G5306" s="1" t="s">
        <v>16853</v>
      </c>
    </row>
    <row r="5307" spans="1:7" x14ac:dyDescent="0.3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G5307" s="1" t="s">
        <v>16856</v>
      </c>
    </row>
    <row r="5308" spans="1:7" x14ac:dyDescent="0.3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G5308" s="1" t="s">
        <v>16860</v>
      </c>
    </row>
    <row r="5309" spans="1:7" x14ac:dyDescent="0.3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G5309" s="1" t="s">
        <v>16863</v>
      </c>
    </row>
    <row r="5310" spans="1:7" x14ac:dyDescent="0.3">
      <c r="A5310" s="1" t="s">
        <v>83</v>
      </c>
      <c r="B5310" s="1" t="s">
        <v>16864</v>
      </c>
      <c r="C5310" s="1" t="s">
        <v>16865</v>
      </c>
      <c r="D5310" s="1" t="s">
        <v>15825</v>
      </c>
      <c r="F5310" s="1" t="s">
        <v>16866</v>
      </c>
      <c r="G5310" s="1" t="s">
        <v>16867</v>
      </c>
    </row>
    <row r="5311" spans="1:7" x14ac:dyDescent="0.3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 x14ac:dyDescent="0.3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G5312" s="1" t="s">
        <v>16874</v>
      </c>
    </row>
    <row r="5313" spans="1:7" x14ac:dyDescent="0.3">
      <c r="A5313" s="1" t="s">
        <v>30</v>
      </c>
      <c r="B5313" s="1" t="s">
        <v>16875</v>
      </c>
      <c r="C5313" s="1" t="s">
        <v>16876</v>
      </c>
      <c r="D5313" s="1" t="s">
        <v>15825</v>
      </c>
      <c r="G5313" s="1" t="s">
        <v>16877</v>
      </c>
    </row>
    <row r="5314" spans="1:7" x14ac:dyDescent="0.3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G5314" s="1" t="s">
        <v>16879</v>
      </c>
    </row>
    <row r="5315" spans="1:7" x14ac:dyDescent="0.3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G5315" s="1" t="s">
        <v>16882</v>
      </c>
    </row>
    <row r="5316" spans="1:7" x14ac:dyDescent="0.3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G5316" s="1" t="s">
        <v>16885</v>
      </c>
    </row>
    <row r="5317" spans="1:7" x14ac:dyDescent="0.3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G5317" s="1" t="s">
        <v>16853</v>
      </c>
    </row>
    <row r="5318" spans="1:7" x14ac:dyDescent="0.3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 x14ac:dyDescent="0.3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G5319" s="1" t="s">
        <v>16894</v>
      </c>
    </row>
    <row r="5320" spans="1:7" x14ac:dyDescent="0.3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 x14ac:dyDescent="0.3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 x14ac:dyDescent="0.3">
      <c r="A5322" s="1" t="s">
        <v>83</v>
      </c>
      <c r="B5322" s="1" t="s">
        <v>16904</v>
      </c>
      <c r="C5322" s="1" t="s">
        <v>16905</v>
      </c>
      <c r="D5322" s="1" t="s">
        <v>15825</v>
      </c>
      <c r="F5322" s="1" t="s">
        <v>16906</v>
      </c>
      <c r="G5322" s="1" t="s">
        <v>16907</v>
      </c>
    </row>
    <row r="5323" spans="1:7" x14ac:dyDescent="0.3">
      <c r="A5323" s="1" t="s">
        <v>30</v>
      </c>
      <c r="B5323" s="1" t="s">
        <v>16908</v>
      </c>
      <c r="C5323" s="1" t="s">
        <v>16909</v>
      </c>
      <c r="D5323" s="1" t="s">
        <v>15825</v>
      </c>
      <c r="G5323" s="1" t="s">
        <v>16910</v>
      </c>
    </row>
    <row r="5324" spans="1:7" x14ac:dyDescent="0.3">
      <c r="A5324" s="1" t="s">
        <v>404</v>
      </c>
      <c r="B5324" s="1" t="s">
        <v>16911</v>
      </c>
      <c r="C5324" s="1" t="s">
        <v>16912</v>
      </c>
      <c r="D5324" s="1" t="s">
        <v>15825</v>
      </c>
      <c r="F5324" s="1" t="s">
        <v>16913</v>
      </c>
      <c r="G5324" s="1" t="s">
        <v>16914</v>
      </c>
    </row>
    <row r="5325" spans="1:7" x14ac:dyDescent="0.3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 x14ac:dyDescent="0.3">
      <c r="A5326" s="1" t="s">
        <v>30</v>
      </c>
      <c r="B5326" s="1" t="s">
        <v>16920</v>
      </c>
      <c r="C5326" s="1" t="s">
        <v>16921</v>
      </c>
      <c r="D5326" s="1" t="s">
        <v>15825</v>
      </c>
      <c r="F5326" s="1" t="s">
        <v>16922</v>
      </c>
      <c r="G5326" s="1" t="s">
        <v>16923</v>
      </c>
    </row>
    <row r="5327" spans="1:7" x14ac:dyDescent="0.3">
      <c r="A5327" s="1" t="s">
        <v>404</v>
      </c>
      <c r="B5327" s="1" t="s">
        <v>16924</v>
      </c>
      <c r="C5327" s="1" t="s">
        <v>16925</v>
      </c>
      <c r="D5327" s="1" t="s">
        <v>15825</v>
      </c>
      <c r="F5327" s="1" t="s">
        <v>16926</v>
      </c>
      <c r="G5327" s="1" t="s">
        <v>16927</v>
      </c>
    </row>
    <row r="5328" spans="1:7" x14ac:dyDescent="0.3">
      <c r="A5328" s="1" t="s">
        <v>30</v>
      </c>
      <c r="B5328" s="1" t="s">
        <v>1346</v>
      </c>
      <c r="C5328" s="1" t="s">
        <v>16928</v>
      </c>
      <c r="D5328" s="1" t="s">
        <v>15825</v>
      </c>
      <c r="F5328" s="1" t="s">
        <v>16929</v>
      </c>
      <c r="G5328" s="1" t="s">
        <v>16930</v>
      </c>
    </row>
    <row r="5329" spans="1:7" x14ac:dyDescent="0.3">
      <c r="A5329" s="1" t="s">
        <v>30</v>
      </c>
      <c r="B5329" s="1" t="s">
        <v>16931</v>
      </c>
      <c r="C5329" s="1" t="s">
        <v>16932</v>
      </c>
      <c r="D5329" s="1" t="s">
        <v>15825</v>
      </c>
      <c r="F5329" s="1" t="s">
        <v>16933</v>
      </c>
      <c r="G5329" s="1" t="s">
        <v>16934</v>
      </c>
    </row>
    <row r="5330" spans="1:7" x14ac:dyDescent="0.3">
      <c r="A5330" s="1" t="s">
        <v>30</v>
      </c>
      <c r="B5330" s="1" t="s">
        <v>16935</v>
      </c>
      <c r="C5330" s="1" t="s">
        <v>16936</v>
      </c>
      <c r="D5330" s="1" t="s">
        <v>15825</v>
      </c>
      <c r="F5330" s="1" t="s">
        <v>16937</v>
      </c>
      <c r="G5330" s="1" t="s">
        <v>16938</v>
      </c>
    </row>
    <row r="5331" spans="1:7" x14ac:dyDescent="0.3">
      <c r="A5331" s="1" t="s">
        <v>30</v>
      </c>
      <c r="B5331" s="1" t="s">
        <v>16939</v>
      </c>
      <c r="C5331" s="1" t="s">
        <v>16940</v>
      </c>
      <c r="D5331" s="1" t="s">
        <v>15825</v>
      </c>
      <c r="F5331" s="1" t="s">
        <v>16941</v>
      </c>
      <c r="G5331" s="1" t="s">
        <v>16942</v>
      </c>
    </row>
    <row r="5332" spans="1:7" x14ac:dyDescent="0.3">
      <c r="A5332" s="1" t="s">
        <v>30</v>
      </c>
      <c r="B5332" s="1" t="s">
        <v>16943</v>
      </c>
      <c r="C5332" s="1" t="s">
        <v>16944</v>
      </c>
      <c r="D5332" s="1" t="s">
        <v>15825</v>
      </c>
      <c r="F5332" s="1" t="s">
        <v>16945</v>
      </c>
      <c r="G5332" s="1" t="s">
        <v>16946</v>
      </c>
    </row>
    <row r="5333" spans="1:7" x14ac:dyDescent="0.3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 x14ac:dyDescent="0.3">
      <c r="A5334" s="1" t="s">
        <v>30</v>
      </c>
      <c r="B5334" s="1" t="s">
        <v>16951</v>
      </c>
      <c r="C5334" s="1" t="s">
        <v>16952</v>
      </c>
      <c r="D5334" s="1" t="s">
        <v>15825</v>
      </c>
      <c r="F5334" s="1" t="s">
        <v>16953</v>
      </c>
      <c r="G5334" s="1" t="s">
        <v>16954</v>
      </c>
    </row>
    <row r="5335" spans="1:7" x14ac:dyDescent="0.3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G5335" s="1" t="s">
        <v>16958</v>
      </c>
    </row>
    <row r="5336" spans="1:7" x14ac:dyDescent="0.3">
      <c r="A5336" s="1" t="s">
        <v>30</v>
      </c>
      <c r="B5336" s="1" t="s">
        <v>16959</v>
      </c>
      <c r="C5336" s="1" t="s">
        <v>16960</v>
      </c>
      <c r="D5336" s="1" t="s">
        <v>15825</v>
      </c>
      <c r="G5336" s="1" t="s">
        <v>16961</v>
      </c>
    </row>
    <row r="5337" spans="1:7" x14ac:dyDescent="0.3">
      <c r="A5337" s="1" t="s">
        <v>680</v>
      </c>
      <c r="B5337" s="1" t="s">
        <v>16962</v>
      </c>
      <c r="C5337" s="1" t="s">
        <v>3854</v>
      </c>
      <c r="D5337" s="1" t="s">
        <v>15825</v>
      </c>
    </row>
    <row r="5338" spans="1:7" x14ac:dyDescent="0.3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G5338" s="1" t="s">
        <v>16965</v>
      </c>
    </row>
    <row r="5339" spans="1:7" x14ac:dyDescent="0.3">
      <c r="A5339" s="1" t="s">
        <v>30</v>
      </c>
      <c r="B5339" s="1" t="s">
        <v>16966</v>
      </c>
      <c r="C5339" s="1" t="s">
        <v>16967</v>
      </c>
      <c r="D5339" s="1" t="s">
        <v>15825</v>
      </c>
      <c r="F5339" s="1" t="s">
        <v>16968</v>
      </c>
      <c r="G5339" s="1" t="s">
        <v>16969</v>
      </c>
    </row>
    <row r="5340" spans="1:7" x14ac:dyDescent="0.3">
      <c r="A5340" s="1" t="s">
        <v>30</v>
      </c>
      <c r="B5340" s="1" t="s">
        <v>16970</v>
      </c>
      <c r="C5340" s="1" t="s">
        <v>16971</v>
      </c>
      <c r="D5340" s="1" t="s">
        <v>15825</v>
      </c>
      <c r="G5340" s="1" t="s">
        <v>16972</v>
      </c>
    </row>
    <row r="5341" spans="1:7" x14ac:dyDescent="0.3">
      <c r="A5341" s="1" t="s">
        <v>30</v>
      </c>
      <c r="B5341" s="1" t="s">
        <v>16973</v>
      </c>
      <c r="C5341" s="1" t="s">
        <v>16974</v>
      </c>
      <c r="D5341" s="1" t="s">
        <v>15825</v>
      </c>
      <c r="F5341" s="1" t="s">
        <v>16975</v>
      </c>
      <c r="G5341" s="1" t="s">
        <v>16976</v>
      </c>
    </row>
    <row r="5342" spans="1:7" x14ac:dyDescent="0.3">
      <c r="A5342" s="1" t="s">
        <v>30</v>
      </c>
      <c r="B5342" s="1" t="s">
        <v>16977</v>
      </c>
      <c r="C5342" s="1" t="s">
        <v>16978</v>
      </c>
      <c r="D5342" s="1" t="s">
        <v>15825</v>
      </c>
      <c r="G5342" s="1" t="s">
        <v>16979</v>
      </c>
    </row>
    <row r="5343" spans="1:7" x14ac:dyDescent="0.3">
      <c r="A5343" s="1" t="s">
        <v>30</v>
      </c>
      <c r="B5343" s="1" t="s">
        <v>16980</v>
      </c>
      <c r="C5343" s="1" t="s">
        <v>16981</v>
      </c>
      <c r="D5343" s="1" t="s">
        <v>15825</v>
      </c>
      <c r="G5343" s="1" t="s">
        <v>16982</v>
      </c>
    </row>
    <row r="5344" spans="1:7" x14ac:dyDescent="0.3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 x14ac:dyDescent="0.3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 x14ac:dyDescent="0.3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 x14ac:dyDescent="0.3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 x14ac:dyDescent="0.3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 x14ac:dyDescent="0.3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 x14ac:dyDescent="0.3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 x14ac:dyDescent="0.3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 x14ac:dyDescent="0.3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G5352" s="1" t="s">
        <v>17015</v>
      </c>
    </row>
    <row r="5353" spans="1:7" x14ac:dyDescent="0.3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 x14ac:dyDescent="0.3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G5354" s="1" t="s">
        <v>17021</v>
      </c>
    </row>
    <row r="5355" spans="1:7" x14ac:dyDescent="0.3">
      <c r="A5355" s="1" t="s">
        <v>30</v>
      </c>
      <c r="B5355" s="1" t="s">
        <v>17022</v>
      </c>
      <c r="D5355" s="1" t="s">
        <v>15825</v>
      </c>
      <c r="G5355" s="1" t="s">
        <v>17023</v>
      </c>
    </row>
    <row r="5356" spans="1:7" x14ac:dyDescent="0.3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 x14ac:dyDescent="0.3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 x14ac:dyDescent="0.3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 x14ac:dyDescent="0.3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 x14ac:dyDescent="0.3">
      <c r="A5360" s="1" t="s">
        <v>89</v>
      </c>
      <c r="B5360" s="1" t="s">
        <v>17040</v>
      </c>
      <c r="D5360" s="1" t="s">
        <v>15825</v>
      </c>
      <c r="E5360" s="1" t="s">
        <v>17041</v>
      </c>
      <c r="F5360" s="1" t="s">
        <v>17042</v>
      </c>
    </row>
    <row r="5361" spans="1:7" x14ac:dyDescent="0.3">
      <c r="A5361" s="1" t="s">
        <v>83</v>
      </c>
      <c r="B5361" s="1" t="s">
        <v>17043</v>
      </c>
      <c r="C5361" s="1" t="s">
        <v>17044</v>
      </c>
      <c r="D5361" s="1" t="s">
        <v>15825</v>
      </c>
      <c r="F5361" s="1" t="s">
        <v>17038</v>
      </c>
      <c r="G5361" s="1" t="s">
        <v>17039</v>
      </c>
    </row>
    <row r="5362" spans="1:7" x14ac:dyDescent="0.3">
      <c r="A5362" s="1" t="s">
        <v>83</v>
      </c>
      <c r="B5362" s="1" t="s">
        <v>17045</v>
      </c>
      <c r="C5362" s="1" t="s">
        <v>17046</v>
      </c>
      <c r="D5362" s="1" t="s">
        <v>15825</v>
      </c>
      <c r="F5362" s="1" t="s">
        <v>17047</v>
      </c>
      <c r="G5362" s="1" t="s">
        <v>17048</v>
      </c>
    </row>
    <row r="5363" spans="1:7" x14ac:dyDescent="0.3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G5363" s="1" t="s">
        <v>17052</v>
      </c>
    </row>
    <row r="5364" spans="1:7" x14ac:dyDescent="0.3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 x14ac:dyDescent="0.3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 x14ac:dyDescent="0.3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G5366" s="1" t="s">
        <v>17064</v>
      </c>
    </row>
    <row r="5367" spans="1:7" x14ac:dyDescent="0.3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 x14ac:dyDescent="0.3">
      <c r="A5368" s="1" t="s">
        <v>404</v>
      </c>
      <c r="B5368" s="1" t="s">
        <v>17069</v>
      </c>
      <c r="D5368" s="1" t="s">
        <v>15825</v>
      </c>
      <c r="F5368" s="1" t="s">
        <v>17070</v>
      </c>
      <c r="G5368" s="1" t="s">
        <v>17071</v>
      </c>
    </row>
    <row r="5369" spans="1:7" x14ac:dyDescent="0.3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G5369" s="1" t="s">
        <v>17073</v>
      </c>
    </row>
    <row r="5370" spans="1:7" x14ac:dyDescent="0.3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 x14ac:dyDescent="0.3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 x14ac:dyDescent="0.3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</row>
    <row r="5373" spans="1:7" x14ac:dyDescent="0.3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G5373" s="1" t="s">
        <v>16903</v>
      </c>
    </row>
    <row r="5374" spans="1:7" x14ac:dyDescent="0.3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 x14ac:dyDescent="0.3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G5375" s="1" t="s">
        <v>17094</v>
      </c>
    </row>
    <row r="5376" spans="1:7" x14ac:dyDescent="0.3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 x14ac:dyDescent="0.3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 x14ac:dyDescent="0.3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</row>
    <row r="5379" spans="1:7" x14ac:dyDescent="0.3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G5379" s="1" t="s">
        <v>17107</v>
      </c>
    </row>
    <row r="5380" spans="1:7" x14ac:dyDescent="0.3">
      <c r="A5380" s="1" t="s">
        <v>680</v>
      </c>
      <c r="B5380" s="1" t="s">
        <v>8213</v>
      </c>
      <c r="C5380" s="1" t="s">
        <v>3806</v>
      </c>
      <c r="D5380" s="1" t="s">
        <v>15825</v>
      </c>
      <c r="F5380" s="1" t="s">
        <v>17108</v>
      </c>
    </row>
    <row r="5381" spans="1:7" x14ac:dyDescent="0.3">
      <c r="A5381" s="1" t="s">
        <v>680</v>
      </c>
      <c r="B5381" s="1" t="s">
        <v>12879</v>
      </c>
      <c r="C5381" s="1" t="s">
        <v>17109</v>
      </c>
      <c r="D5381" s="1" t="s">
        <v>15825</v>
      </c>
    </row>
    <row r="5382" spans="1:7" x14ac:dyDescent="0.3">
      <c r="A5382" s="1" t="s">
        <v>680</v>
      </c>
      <c r="B5382" s="1" t="s">
        <v>17110</v>
      </c>
      <c r="D5382" s="1" t="s">
        <v>15825</v>
      </c>
    </row>
    <row r="5383" spans="1:7" x14ac:dyDescent="0.3">
      <c r="A5383" s="1" t="s">
        <v>680</v>
      </c>
      <c r="B5383" s="1" t="s">
        <v>17111</v>
      </c>
      <c r="D5383" s="1" t="s">
        <v>15825</v>
      </c>
    </row>
    <row r="5384" spans="1:7" x14ac:dyDescent="0.3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</row>
    <row r="5385" spans="1:7" x14ac:dyDescent="0.3">
      <c r="A5385" s="1" t="s">
        <v>680</v>
      </c>
      <c r="B5385" s="1" t="s">
        <v>17115</v>
      </c>
      <c r="D5385" s="1" t="s">
        <v>15825</v>
      </c>
      <c r="F5385" s="1" t="s">
        <v>17116</v>
      </c>
    </row>
    <row r="5386" spans="1:7" x14ac:dyDescent="0.3">
      <c r="A5386" s="1" t="s">
        <v>680</v>
      </c>
      <c r="B5386" s="1" t="s">
        <v>17117</v>
      </c>
      <c r="C5386" s="1" t="s">
        <v>17118</v>
      </c>
      <c r="D5386" s="1" t="s">
        <v>15825</v>
      </c>
    </row>
    <row r="5387" spans="1:7" x14ac:dyDescent="0.3">
      <c r="A5387" s="1" t="s">
        <v>680</v>
      </c>
      <c r="B5387" s="1" t="s">
        <v>17119</v>
      </c>
      <c r="C5387" s="1" t="s">
        <v>17120</v>
      </c>
      <c r="D5387" s="1" t="s">
        <v>15825</v>
      </c>
    </row>
    <row r="5388" spans="1:7" x14ac:dyDescent="0.3">
      <c r="A5388" s="1" t="s">
        <v>680</v>
      </c>
      <c r="B5388" s="1" t="s">
        <v>17121</v>
      </c>
      <c r="C5388" s="1" t="s">
        <v>17122</v>
      </c>
      <c r="D5388" s="1" t="s">
        <v>15825</v>
      </c>
    </row>
    <row r="5389" spans="1:7" x14ac:dyDescent="0.3">
      <c r="A5389" s="1" t="s">
        <v>680</v>
      </c>
      <c r="B5389" s="1" t="s">
        <v>17123</v>
      </c>
      <c r="D5389" s="1" t="s">
        <v>15825</v>
      </c>
      <c r="F5389" s="1" t="s">
        <v>17124</v>
      </c>
    </row>
    <row r="5390" spans="1:7" x14ac:dyDescent="0.3">
      <c r="A5390" s="1" t="s">
        <v>680</v>
      </c>
      <c r="B5390" s="1" t="s">
        <v>17125</v>
      </c>
      <c r="C5390" s="1" t="s">
        <v>3806</v>
      </c>
      <c r="D5390" s="1" t="s">
        <v>15825</v>
      </c>
    </row>
    <row r="5391" spans="1:7" x14ac:dyDescent="0.3">
      <c r="A5391" s="1" t="s">
        <v>680</v>
      </c>
      <c r="B5391" s="1" t="s">
        <v>17126</v>
      </c>
      <c r="C5391" s="1" t="s">
        <v>17127</v>
      </c>
      <c r="D5391" s="1" t="s">
        <v>15825</v>
      </c>
    </row>
    <row r="5392" spans="1:7" x14ac:dyDescent="0.3">
      <c r="A5392" s="1" t="s">
        <v>680</v>
      </c>
      <c r="B5392" s="1" t="s">
        <v>17128</v>
      </c>
      <c r="C5392" s="1" t="s">
        <v>9846</v>
      </c>
      <c r="D5392" s="1" t="s">
        <v>15825</v>
      </c>
    </row>
    <row r="5393" spans="1:7" x14ac:dyDescent="0.3">
      <c r="A5393" s="1" t="s">
        <v>680</v>
      </c>
      <c r="B5393" s="1" t="s">
        <v>8235</v>
      </c>
      <c r="C5393" s="1" t="s">
        <v>17129</v>
      </c>
      <c r="D5393" s="1" t="s">
        <v>15825</v>
      </c>
      <c r="F5393" s="1" t="s">
        <v>17130</v>
      </c>
    </row>
    <row r="5394" spans="1:7" x14ac:dyDescent="0.3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</row>
    <row r="5395" spans="1:7" x14ac:dyDescent="0.3">
      <c r="A5395" s="1" t="s">
        <v>680</v>
      </c>
      <c r="B5395" s="1" t="s">
        <v>17133</v>
      </c>
      <c r="D5395" s="1" t="s">
        <v>15825</v>
      </c>
      <c r="F5395" s="1" t="s">
        <v>17134</v>
      </c>
    </row>
    <row r="5396" spans="1:7" x14ac:dyDescent="0.3">
      <c r="A5396" s="1" t="s">
        <v>680</v>
      </c>
      <c r="B5396" s="1" t="s">
        <v>7113</v>
      </c>
      <c r="C5396" s="1" t="s">
        <v>17135</v>
      </c>
      <c r="D5396" s="1" t="s">
        <v>15825</v>
      </c>
      <c r="F5396" s="1" t="s">
        <v>17136</v>
      </c>
    </row>
    <row r="5397" spans="1:7" x14ac:dyDescent="0.3">
      <c r="A5397" s="1" t="s">
        <v>680</v>
      </c>
      <c r="B5397" s="1" t="s">
        <v>11687</v>
      </c>
      <c r="D5397" s="1" t="s">
        <v>15825</v>
      </c>
      <c r="F5397" s="1" t="s">
        <v>17137</v>
      </c>
    </row>
    <row r="5398" spans="1:7" x14ac:dyDescent="0.3">
      <c r="A5398" s="1" t="s">
        <v>680</v>
      </c>
      <c r="B5398" s="1" t="s">
        <v>17138</v>
      </c>
      <c r="C5398" s="1" t="s">
        <v>17139</v>
      </c>
      <c r="D5398" s="1" t="s">
        <v>15825</v>
      </c>
      <c r="F5398" s="1" t="s">
        <v>17140</v>
      </c>
      <c r="G5398" s="1" t="s">
        <v>17141</v>
      </c>
    </row>
    <row r="5399" spans="1:7" x14ac:dyDescent="0.3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 x14ac:dyDescent="0.3">
      <c r="A5400" s="1" t="s">
        <v>680</v>
      </c>
      <c r="B5400" s="1" t="s">
        <v>17146</v>
      </c>
      <c r="C5400" s="1" t="s">
        <v>17147</v>
      </c>
      <c r="D5400" s="1" t="s">
        <v>15825</v>
      </c>
    </row>
    <row r="5401" spans="1:7" x14ac:dyDescent="0.3">
      <c r="A5401" s="1" t="s">
        <v>680</v>
      </c>
      <c r="B5401" s="1" t="s">
        <v>17148</v>
      </c>
      <c r="D5401" s="1" t="s">
        <v>15825</v>
      </c>
    </row>
    <row r="5402" spans="1:7" x14ac:dyDescent="0.3">
      <c r="A5402" s="1" t="s">
        <v>680</v>
      </c>
      <c r="B5402" s="1" t="s">
        <v>17149</v>
      </c>
      <c r="C5402" s="1" t="s">
        <v>17150</v>
      </c>
      <c r="D5402" s="1" t="s">
        <v>15825</v>
      </c>
      <c r="F5402" s="1" t="s">
        <v>17151</v>
      </c>
    </row>
    <row r="5403" spans="1:7" x14ac:dyDescent="0.3">
      <c r="A5403" s="1" t="s">
        <v>680</v>
      </c>
      <c r="B5403" s="1" t="s">
        <v>17152</v>
      </c>
      <c r="D5403" s="1" t="s">
        <v>15825</v>
      </c>
    </row>
    <row r="5404" spans="1:7" x14ac:dyDescent="0.3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</row>
    <row r="5405" spans="1:7" x14ac:dyDescent="0.3">
      <c r="A5405" s="1" t="s">
        <v>680</v>
      </c>
      <c r="B5405" s="1" t="s">
        <v>17155</v>
      </c>
      <c r="C5405" s="1" t="s">
        <v>17156</v>
      </c>
      <c r="D5405" s="1" t="s">
        <v>15825</v>
      </c>
      <c r="F5405" s="1" t="s">
        <v>17157</v>
      </c>
      <c r="G5405" s="1" t="s">
        <v>17158</v>
      </c>
    </row>
    <row r="5406" spans="1:7" x14ac:dyDescent="0.3">
      <c r="A5406" s="1" t="s">
        <v>680</v>
      </c>
      <c r="B5406" s="1" t="s">
        <v>17159</v>
      </c>
      <c r="C5406" s="1" t="s">
        <v>17160</v>
      </c>
      <c r="D5406" s="1" t="s">
        <v>15825</v>
      </c>
      <c r="F5406" s="1" t="s">
        <v>17161</v>
      </c>
    </row>
    <row r="5407" spans="1:7" x14ac:dyDescent="0.3">
      <c r="A5407" s="1" t="s">
        <v>680</v>
      </c>
      <c r="B5407" s="1" t="s">
        <v>17162</v>
      </c>
      <c r="C5407" s="1" t="s">
        <v>17163</v>
      </c>
      <c r="D5407" s="1" t="s">
        <v>15825</v>
      </c>
    </row>
    <row r="5408" spans="1:7" x14ac:dyDescent="0.3">
      <c r="A5408" s="1" t="s">
        <v>680</v>
      </c>
      <c r="B5408" s="1" t="s">
        <v>17164</v>
      </c>
      <c r="D5408" s="1" t="s">
        <v>15825</v>
      </c>
    </row>
    <row r="5409" spans="1:7" x14ac:dyDescent="0.3">
      <c r="A5409" s="1" t="s">
        <v>680</v>
      </c>
      <c r="B5409" s="1" t="s">
        <v>17165</v>
      </c>
      <c r="D5409" s="1" t="s">
        <v>15825</v>
      </c>
    </row>
    <row r="5410" spans="1:7" x14ac:dyDescent="0.3">
      <c r="A5410" s="1" t="s">
        <v>680</v>
      </c>
      <c r="B5410" s="1" t="s">
        <v>17166</v>
      </c>
      <c r="D5410" s="1" t="s">
        <v>15825</v>
      </c>
    </row>
    <row r="5411" spans="1:7" x14ac:dyDescent="0.3">
      <c r="A5411" s="1" t="s">
        <v>680</v>
      </c>
      <c r="B5411" s="1" t="s">
        <v>17167</v>
      </c>
      <c r="C5411" s="1" t="s">
        <v>17168</v>
      </c>
      <c r="D5411" s="1" t="s">
        <v>15825</v>
      </c>
    </row>
    <row r="5412" spans="1:7" x14ac:dyDescent="0.3">
      <c r="A5412" s="1" t="s">
        <v>680</v>
      </c>
      <c r="B5412" s="1" t="s">
        <v>17169</v>
      </c>
      <c r="C5412" s="1" t="s">
        <v>17160</v>
      </c>
      <c r="D5412" s="1" t="s">
        <v>15825</v>
      </c>
      <c r="F5412" s="1" t="s">
        <v>17170</v>
      </c>
      <c r="G5412" s="1" t="s">
        <v>17171</v>
      </c>
    </row>
    <row r="5413" spans="1:7" x14ac:dyDescent="0.3">
      <c r="A5413" s="1" t="s">
        <v>680</v>
      </c>
      <c r="B5413" s="1" t="s">
        <v>17172</v>
      </c>
      <c r="C5413" s="1" t="s">
        <v>17173</v>
      </c>
      <c r="D5413" s="1" t="s">
        <v>15825</v>
      </c>
      <c r="F5413" s="1" t="s">
        <v>17174</v>
      </c>
    </row>
    <row r="5414" spans="1:7" x14ac:dyDescent="0.3">
      <c r="A5414" s="1" t="s">
        <v>680</v>
      </c>
      <c r="B5414" s="1" t="s">
        <v>8222</v>
      </c>
      <c r="C5414" s="1" t="s">
        <v>17175</v>
      </c>
      <c r="D5414" s="1" t="s">
        <v>15825</v>
      </c>
    </row>
    <row r="5415" spans="1:7" x14ac:dyDescent="0.3">
      <c r="A5415" s="1" t="s">
        <v>680</v>
      </c>
      <c r="B5415" s="1" t="s">
        <v>17176</v>
      </c>
      <c r="C5415" s="1" t="s">
        <v>9846</v>
      </c>
      <c r="D5415" s="1" t="s">
        <v>15825</v>
      </c>
    </row>
    <row r="5416" spans="1:7" x14ac:dyDescent="0.3">
      <c r="A5416" s="1" t="s">
        <v>680</v>
      </c>
      <c r="B5416" s="1" t="s">
        <v>17177</v>
      </c>
      <c r="D5416" s="1" t="s">
        <v>15825</v>
      </c>
      <c r="F5416" s="1" t="s">
        <v>17178</v>
      </c>
      <c r="G5416" s="1" t="s">
        <v>17179</v>
      </c>
    </row>
    <row r="5417" spans="1:7" x14ac:dyDescent="0.3">
      <c r="A5417" s="1" t="s">
        <v>680</v>
      </c>
      <c r="B5417" s="1" t="s">
        <v>17180</v>
      </c>
      <c r="C5417" s="1" t="s">
        <v>17181</v>
      </c>
      <c r="D5417" s="1" t="s">
        <v>15825</v>
      </c>
    </row>
    <row r="5418" spans="1:7" x14ac:dyDescent="0.3">
      <c r="A5418" s="1" t="s">
        <v>680</v>
      </c>
      <c r="B5418" s="1" t="s">
        <v>17182</v>
      </c>
      <c r="D5418" s="1" t="s">
        <v>15825</v>
      </c>
    </row>
    <row r="5419" spans="1:7" x14ac:dyDescent="0.3">
      <c r="A5419" s="1" t="s">
        <v>680</v>
      </c>
      <c r="B5419" s="1" t="s">
        <v>8215</v>
      </c>
      <c r="C5419" s="1" t="s">
        <v>17135</v>
      </c>
      <c r="D5419" s="1" t="s">
        <v>15825</v>
      </c>
    </row>
    <row r="5420" spans="1:7" x14ac:dyDescent="0.3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 x14ac:dyDescent="0.3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 x14ac:dyDescent="0.3">
      <c r="A5422" s="1" t="s">
        <v>680</v>
      </c>
      <c r="B5422" s="1" t="s">
        <v>17191</v>
      </c>
      <c r="D5422" s="1" t="s">
        <v>15825</v>
      </c>
      <c r="E5422" s="1" t="s">
        <v>17084</v>
      </c>
    </row>
    <row r="5423" spans="1:7" x14ac:dyDescent="0.3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 x14ac:dyDescent="0.3">
      <c r="A5424" s="1" t="s">
        <v>680</v>
      </c>
      <c r="B5424" s="1" t="s">
        <v>17194</v>
      </c>
      <c r="C5424" s="1" t="s">
        <v>17195</v>
      </c>
      <c r="D5424" s="1" t="s">
        <v>15825</v>
      </c>
    </row>
    <row r="5425" spans="1:7" x14ac:dyDescent="0.3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</row>
    <row r="5426" spans="1:7" x14ac:dyDescent="0.3">
      <c r="A5426" s="1" t="s">
        <v>680</v>
      </c>
      <c r="B5426" s="1" t="s">
        <v>17198</v>
      </c>
      <c r="C5426" s="1" t="s">
        <v>17199</v>
      </c>
      <c r="D5426" s="1" t="s">
        <v>15825</v>
      </c>
      <c r="F5426" s="1" t="s">
        <v>17200</v>
      </c>
      <c r="G5426" s="1" t="s">
        <v>17201</v>
      </c>
    </row>
    <row r="5427" spans="1:7" x14ac:dyDescent="0.3">
      <c r="A5427" s="1" t="s">
        <v>680</v>
      </c>
      <c r="B5427" s="1" t="s">
        <v>17202</v>
      </c>
      <c r="C5427" s="1" t="s">
        <v>17203</v>
      </c>
      <c r="D5427" s="1" t="s">
        <v>15825</v>
      </c>
      <c r="F5427" s="1" t="s">
        <v>17204</v>
      </c>
      <c r="G5427" s="1" t="s">
        <v>17205</v>
      </c>
    </row>
    <row r="5428" spans="1:7" x14ac:dyDescent="0.3">
      <c r="A5428" s="1" t="s">
        <v>680</v>
      </c>
      <c r="B5428" s="1" t="s">
        <v>17206</v>
      </c>
      <c r="C5428" s="1" t="s">
        <v>17207</v>
      </c>
      <c r="D5428" s="1" t="s">
        <v>15825</v>
      </c>
    </row>
    <row r="5429" spans="1:7" x14ac:dyDescent="0.3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 x14ac:dyDescent="0.3">
      <c r="A5430" s="1" t="s">
        <v>680</v>
      </c>
      <c r="B5430" s="1" t="s">
        <v>17212</v>
      </c>
      <c r="D5430" s="1" t="s">
        <v>15825</v>
      </c>
      <c r="F5430" s="1" t="s">
        <v>17081</v>
      </c>
    </row>
    <row r="5431" spans="1:7" x14ac:dyDescent="0.3">
      <c r="A5431" s="1" t="s">
        <v>680</v>
      </c>
      <c r="B5431" s="1" t="s">
        <v>17213</v>
      </c>
      <c r="C5431" s="1" t="s">
        <v>17214</v>
      </c>
      <c r="D5431" s="1" t="s">
        <v>15825</v>
      </c>
      <c r="F5431" s="1" t="s">
        <v>17215</v>
      </c>
      <c r="G5431" s="1" t="s">
        <v>17216</v>
      </c>
    </row>
    <row r="5432" spans="1:7" x14ac:dyDescent="0.3">
      <c r="A5432" s="1" t="s">
        <v>680</v>
      </c>
      <c r="B5432" s="1" t="s">
        <v>17217</v>
      </c>
      <c r="D5432" s="1" t="s">
        <v>15825</v>
      </c>
    </row>
    <row r="5433" spans="1:7" x14ac:dyDescent="0.3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 x14ac:dyDescent="0.3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 x14ac:dyDescent="0.3">
      <c r="A5435" s="1" t="s">
        <v>680</v>
      </c>
      <c r="B5435" s="1" t="s">
        <v>17226</v>
      </c>
      <c r="C5435" s="1" t="s">
        <v>17227</v>
      </c>
      <c r="D5435" s="1" t="s">
        <v>15825</v>
      </c>
    </row>
    <row r="5436" spans="1:7" x14ac:dyDescent="0.3">
      <c r="A5436" s="1" t="s">
        <v>680</v>
      </c>
      <c r="B5436" s="1" t="s">
        <v>17228</v>
      </c>
      <c r="C5436" s="1" t="s">
        <v>17229</v>
      </c>
      <c r="D5436" s="1" t="s">
        <v>15825</v>
      </c>
    </row>
    <row r="5437" spans="1:7" x14ac:dyDescent="0.3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G5437" s="1" t="s">
        <v>17232</v>
      </c>
    </row>
    <row r="5438" spans="1:7" x14ac:dyDescent="0.3">
      <c r="A5438" s="1" t="s">
        <v>680</v>
      </c>
      <c r="B5438" s="1" t="s">
        <v>17233</v>
      </c>
      <c r="C5438" s="1" t="s">
        <v>17234</v>
      </c>
      <c r="D5438" s="1" t="s">
        <v>15825</v>
      </c>
    </row>
    <row r="5439" spans="1:7" x14ac:dyDescent="0.3">
      <c r="A5439" s="1" t="s">
        <v>680</v>
      </c>
      <c r="B5439" s="1" t="s">
        <v>17235</v>
      </c>
      <c r="C5439" s="1" t="s">
        <v>17236</v>
      </c>
      <c r="D5439" s="1" t="s">
        <v>15825</v>
      </c>
    </row>
    <row r="5440" spans="1:7" x14ac:dyDescent="0.3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</row>
    <row r="5441" spans="1:7" x14ac:dyDescent="0.3">
      <c r="A5441" s="1" t="s">
        <v>680</v>
      </c>
      <c r="B5441" s="1" t="s">
        <v>17239</v>
      </c>
      <c r="C5441" s="1" t="s">
        <v>17240</v>
      </c>
      <c r="D5441" s="1" t="s">
        <v>15825</v>
      </c>
    </row>
    <row r="5442" spans="1:7" x14ac:dyDescent="0.3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 x14ac:dyDescent="0.3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 x14ac:dyDescent="0.3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</row>
    <row r="5445" spans="1:7" x14ac:dyDescent="0.3">
      <c r="A5445" s="1" t="s">
        <v>680</v>
      </c>
      <c r="B5445" s="1" t="s">
        <v>17250</v>
      </c>
      <c r="C5445" s="1" t="s">
        <v>17251</v>
      </c>
      <c r="D5445" s="1" t="s">
        <v>15825</v>
      </c>
    </row>
    <row r="5446" spans="1:7" x14ac:dyDescent="0.3">
      <c r="A5446" s="1" t="s">
        <v>680</v>
      </c>
      <c r="B5446" s="1" t="s">
        <v>17252</v>
      </c>
      <c r="D5446" s="1" t="s">
        <v>15825</v>
      </c>
      <c r="F5446" s="1" t="s">
        <v>17253</v>
      </c>
    </row>
    <row r="5447" spans="1:7" x14ac:dyDescent="0.3">
      <c r="A5447" s="1" t="s">
        <v>680</v>
      </c>
      <c r="B5447" s="1" t="s">
        <v>17254</v>
      </c>
      <c r="C5447" s="1" t="s">
        <v>9846</v>
      </c>
      <c r="D5447" s="1" t="s">
        <v>15825</v>
      </c>
      <c r="G5447" s="1" t="s">
        <v>17255</v>
      </c>
    </row>
    <row r="5448" spans="1:7" x14ac:dyDescent="0.3">
      <c r="A5448" s="1" t="s">
        <v>680</v>
      </c>
      <c r="B5448" s="1" t="s">
        <v>17256</v>
      </c>
      <c r="C5448" s="1" t="s">
        <v>17257</v>
      </c>
      <c r="D5448" s="1" t="s">
        <v>15825</v>
      </c>
    </row>
    <row r="5449" spans="1:7" x14ac:dyDescent="0.3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</row>
    <row r="5450" spans="1:7" x14ac:dyDescent="0.3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 x14ac:dyDescent="0.3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 x14ac:dyDescent="0.3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 x14ac:dyDescent="0.3">
      <c r="A5453" s="1" t="s">
        <v>680</v>
      </c>
      <c r="B5453" s="1" t="s">
        <v>17273</v>
      </c>
      <c r="C5453" s="1" t="s">
        <v>17274</v>
      </c>
      <c r="D5453" s="1" t="s">
        <v>15825</v>
      </c>
    </row>
    <row r="5454" spans="1:7" x14ac:dyDescent="0.3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 x14ac:dyDescent="0.3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 x14ac:dyDescent="0.3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 x14ac:dyDescent="0.3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 x14ac:dyDescent="0.3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 x14ac:dyDescent="0.3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 x14ac:dyDescent="0.3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 x14ac:dyDescent="0.3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 x14ac:dyDescent="0.3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 x14ac:dyDescent="0.3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 x14ac:dyDescent="0.3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 x14ac:dyDescent="0.3">
      <c r="A5465" s="1" t="s">
        <v>680</v>
      </c>
      <c r="B5465" s="1" t="s">
        <v>17312</v>
      </c>
      <c r="C5465" s="1" t="s">
        <v>9846</v>
      </c>
      <c r="D5465" s="1" t="s">
        <v>15825</v>
      </c>
    </row>
    <row r="5466" spans="1:7" x14ac:dyDescent="0.3">
      <c r="A5466" s="1" t="s">
        <v>680</v>
      </c>
      <c r="B5466" s="1" t="s">
        <v>17313</v>
      </c>
      <c r="C5466" s="1" t="s">
        <v>17314</v>
      </c>
      <c r="D5466" s="1" t="s">
        <v>15825</v>
      </c>
      <c r="F5466" s="1" t="s">
        <v>17315</v>
      </c>
    </row>
    <row r="5467" spans="1:7" x14ac:dyDescent="0.3">
      <c r="A5467" s="1" t="s">
        <v>680</v>
      </c>
      <c r="B5467" s="1" t="s">
        <v>17316</v>
      </c>
      <c r="D5467" s="1" t="s">
        <v>15825</v>
      </c>
    </row>
    <row r="5468" spans="1:7" x14ac:dyDescent="0.3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</row>
    <row r="5469" spans="1:7" x14ac:dyDescent="0.3">
      <c r="A5469" s="1" t="s">
        <v>680</v>
      </c>
      <c r="B5469" s="1" t="s">
        <v>17319</v>
      </c>
      <c r="C5469" s="1" t="s">
        <v>17016</v>
      </c>
      <c r="D5469" s="1" t="s">
        <v>15825</v>
      </c>
    </row>
    <row r="5470" spans="1:7" x14ac:dyDescent="0.3">
      <c r="A5470" s="1" t="s">
        <v>680</v>
      </c>
      <c r="B5470" s="1" t="s">
        <v>17320</v>
      </c>
      <c r="D5470" s="1" t="s">
        <v>15825</v>
      </c>
    </row>
    <row r="5471" spans="1:7" x14ac:dyDescent="0.3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</row>
    <row r="5472" spans="1:7" x14ac:dyDescent="0.3">
      <c r="A5472" s="1" t="s">
        <v>680</v>
      </c>
      <c r="B5472" s="1" t="s">
        <v>17322</v>
      </c>
      <c r="D5472" s="1" t="s">
        <v>15825</v>
      </c>
      <c r="F5472" s="1" t="s">
        <v>17031</v>
      </c>
    </row>
    <row r="5473" spans="1:7" x14ac:dyDescent="0.3">
      <c r="A5473" s="1" t="s">
        <v>680</v>
      </c>
      <c r="B5473" s="1" t="s">
        <v>17323</v>
      </c>
      <c r="C5473" s="1" t="s">
        <v>9846</v>
      </c>
      <c r="D5473" s="1" t="s">
        <v>15825</v>
      </c>
      <c r="F5473" s="1" t="s">
        <v>17324</v>
      </c>
    </row>
    <row r="5474" spans="1:7" x14ac:dyDescent="0.3">
      <c r="A5474" s="1" t="s">
        <v>680</v>
      </c>
      <c r="B5474" s="1" t="s">
        <v>17325</v>
      </c>
      <c r="C5474" s="1" t="s">
        <v>17326</v>
      </c>
      <c r="D5474" s="1" t="s">
        <v>15825</v>
      </c>
      <c r="F5474" s="1" t="s">
        <v>17327</v>
      </c>
      <c r="G5474" s="1" t="s">
        <v>17328</v>
      </c>
    </row>
    <row r="5475" spans="1:7" x14ac:dyDescent="0.3">
      <c r="A5475" s="1" t="s">
        <v>680</v>
      </c>
      <c r="B5475" s="1" t="s">
        <v>17329</v>
      </c>
      <c r="C5475" s="1" t="s">
        <v>17330</v>
      </c>
      <c r="D5475" s="1" t="s">
        <v>15825</v>
      </c>
    </row>
    <row r="5476" spans="1:7" x14ac:dyDescent="0.3">
      <c r="A5476" s="1" t="s">
        <v>680</v>
      </c>
      <c r="B5476" s="1" t="s">
        <v>17331</v>
      </c>
      <c r="C5476" s="1" t="s">
        <v>17332</v>
      </c>
      <c r="D5476" s="1" t="s">
        <v>15825</v>
      </c>
      <c r="F5476" s="1" t="s">
        <v>17333</v>
      </c>
    </row>
    <row r="5477" spans="1:7" x14ac:dyDescent="0.3">
      <c r="A5477" s="1" t="s">
        <v>680</v>
      </c>
      <c r="B5477" s="1" t="s">
        <v>17334</v>
      </c>
      <c r="C5477" s="1" t="s">
        <v>3806</v>
      </c>
      <c r="D5477" s="1" t="s">
        <v>15825</v>
      </c>
    </row>
    <row r="5478" spans="1:7" x14ac:dyDescent="0.3">
      <c r="A5478" s="1" t="s">
        <v>680</v>
      </c>
      <c r="B5478" s="1" t="s">
        <v>17335</v>
      </c>
      <c r="C5478" s="1" t="s">
        <v>3806</v>
      </c>
      <c r="D5478" s="1" t="s">
        <v>15825</v>
      </c>
    </row>
    <row r="5479" spans="1:7" x14ac:dyDescent="0.3">
      <c r="A5479" s="1" t="s">
        <v>680</v>
      </c>
      <c r="B5479" s="1" t="s">
        <v>17336</v>
      </c>
      <c r="C5479" s="1" t="s">
        <v>17337</v>
      </c>
      <c r="D5479" s="1" t="s">
        <v>15825</v>
      </c>
      <c r="F5479" s="1" t="s">
        <v>17338</v>
      </c>
      <c r="G5479" s="1" t="s">
        <v>17339</v>
      </c>
    </row>
    <row r="5480" spans="1:7" x14ac:dyDescent="0.3">
      <c r="A5480" s="1" t="s">
        <v>680</v>
      </c>
      <c r="B5480" s="1" t="s">
        <v>17340</v>
      </c>
      <c r="D5480" s="1" t="s">
        <v>15825</v>
      </c>
      <c r="F5480" s="1" t="s">
        <v>17341</v>
      </c>
    </row>
    <row r="5481" spans="1:7" x14ac:dyDescent="0.3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 x14ac:dyDescent="0.3">
      <c r="A5482" s="1" t="s">
        <v>680</v>
      </c>
      <c r="B5482" s="1" t="s">
        <v>17347</v>
      </c>
      <c r="C5482" s="1" t="s">
        <v>17348</v>
      </c>
      <c r="D5482" s="1" t="s">
        <v>15825</v>
      </c>
    </row>
    <row r="5483" spans="1:7" x14ac:dyDescent="0.3">
      <c r="A5483" s="1" t="s">
        <v>680</v>
      </c>
      <c r="B5483" s="1" t="s">
        <v>17349</v>
      </c>
      <c r="C5483" s="1" t="s">
        <v>3806</v>
      </c>
      <c r="D5483" s="1" t="s">
        <v>15825</v>
      </c>
      <c r="G5483" s="1" t="s">
        <v>17350</v>
      </c>
    </row>
    <row r="5484" spans="1:7" x14ac:dyDescent="0.3">
      <c r="A5484" s="1" t="s">
        <v>680</v>
      </c>
      <c r="B5484" s="1" t="s">
        <v>17351</v>
      </c>
      <c r="C5484" s="1" t="s">
        <v>9846</v>
      </c>
      <c r="D5484" s="1" t="s">
        <v>15825</v>
      </c>
    </row>
    <row r="5485" spans="1:7" x14ac:dyDescent="0.3">
      <c r="A5485" s="1" t="s">
        <v>680</v>
      </c>
      <c r="B5485" s="1" t="s">
        <v>17352</v>
      </c>
      <c r="C5485" s="1" t="s">
        <v>17353</v>
      </c>
      <c r="D5485" s="1" t="s">
        <v>15825</v>
      </c>
      <c r="F5485" s="1" t="s">
        <v>17354</v>
      </c>
    </row>
    <row r="5486" spans="1:7" x14ac:dyDescent="0.3">
      <c r="A5486" s="1" t="s">
        <v>680</v>
      </c>
      <c r="B5486" s="1" t="s">
        <v>17355</v>
      </c>
      <c r="C5486" s="1" t="s">
        <v>17356</v>
      </c>
      <c r="D5486" s="1" t="s">
        <v>15825</v>
      </c>
    </row>
    <row r="5487" spans="1:7" x14ac:dyDescent="0.3">
      <c r="A5487" s="1" t="s">
        <v>680</v>
      </c>
      <c r="B5487" s="1" t="s">
        <v>17357</v>
      </c>
      <c r="C5487" s="1" t="s">
        <v>17358</v>
      </c>
      <c r="D5487" s="1" t="s">
        <v>15825</v>
      </c>
    </row>
    <row r="5488" spans="1:7" x14ac:dyDescent="0.3">
      <c r="A5488" s="1" t="s">
        <v>680</v>
      </c>
      <c r="B5488" s="1" t="s">
        <v>17359</v>
      </c>
      <c r="C5488" s="1" t="s">
        <v>17360</v>
      </c>
      <c r="D5488" s="1" t="s">
        <v>15825</v>
      </c>
    </row>
    <row r="5489" spans="1:7" x14ac:dyDescent="0.3">
      <c r="A5489" s="1" t="s">
        <v>680</v>
      </c>
      <c r="B5489" s="1" t="s">
        <v>12868</v>
      </c>
      <c r="D5489" s="1" t="s">
        <v>15825</v>
      </c>
    </row>
    <row r="5490" spans="1:7" x14ac:dyDescent="0.3">
      <c r="A5490" s="1" t="s">
        <v>680</v>
      </c>
      <c r="B5490" s="1" t="s">
        <v>15479</v>
      </c>
      <c r="C5490" s="1" t="s">
        <v>17361</v>
      </c>
      <c r="D5490" s="1" t="s">
        <v>15825</v>
      </c>
      <c r="F5490" s="1" t="s">
        <v>17362</v>
      </c>
    </row>
    <row r="5491" spans="1:7" x14ac:dyDescent="0.3">
      <c r="A5491" s="1" t="s">
        <v>680</v>
      </c>
      <c r="B5491" s="1" t="s">
        <v>17363</v>
      </c>
      <c r="D5491" s="1" t="s">
        <v>15825</v>
      </c>
    </row>
    <row r="5492" spans="1:7" x14ac:dyDescent="0.3">
      <c r="A5492" s="1" t="s">
        <v>680</v>
      </c>
      <c r="B5492" s="1" t="s">
        <v>17364</v>
      </c>
      <c r="C5492" s="1" t="s">
        <v>17365</v>
      </c>
      <c r="D5492" s="1" t="s">
        <v>15825</v>
      </c>
    </row>
    <row r="5493" spans="1:7" x14ac:dyDescent="0.3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</row>
    <row r="5494" spans="1:7" x14ac:dyDescent="0.3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</row>
    <row r="5495" spans="1:7" x14ac:dyDescent="0.3">
      <c r="A5495" s="1" t="s">
        <v>680</v>
      </c>
      <c r="B5495" s="1" t="s">
        <v>2843</v>
      </c>
      <c r="C5495" s="1" t="s">
        <v>17371</v>
      </c>
      <c r="D5495" s="1" t="s">
        <v>15825</v>
      </c>
      <c r="F5495" s="1" t="s">
        <v>17372</v>
      </c>
      <c r="G5495" s="1" t="s">
        <v>17373</v>
      </c>
    </row>
    <row r="5496" spans="1:7" x14ac:dyDescent="0.3">
      <c r="A5496" s="1" t="s">
        <v>680</v>
      </c>
      <c r="B5496" s="1" t="s">
        <v>17374</v>
      </c>
      <c r="C5496" s="1" t="s">
        <v>17375</v>
      </c>
      <c r="D5496" s="1" t="s">
        <v>15825</v>
      </c>
    </row>
    <row r="5497" spans="1:7" x14ac:dyDescent="0.3">
      <c r="A5497" s="1" t="s">
        <v>680</v>
      </c>
      <c r="B5497" s="1" t="s">
        <v>17376</v>
      </c>
      <c r="D5497" s="1" t="s">
        <v>15825</v>
      </c>
      <c r="E5497" s="1" t="s">
        <v>15825</v>
      </c>
      <c r="F5497" s="1" t="s">
        <v>17377</v>
      </c>
    </row>
    <row r="5498" spans="1:7" x14ac:dyDescent="0.3">
      <c r="A5498" s="1" t="s">
        <v>680</v>
      </c>
      <c r="B5498" s="1" t="s">
        <v>17378</v>
      </c>
      <c r="C5498" s="1" t="s">
        <v>17379</v>
      </c>
      <c r="D5498" s="1" t="s">
        <v>15825</v>
      </c>
    </row>
    <row r="5499" spans="1:7" x14ac:dyDescent="0.3">
      <c r="A5499" s="1" t="s">
        <v>680</v>
      </c>
      <c r="B5499" s="1" t="s">
        <v>17380</v>
      </c>
      <c r="D5499" s="1" t="s">
        <v>15825</v>
      </c>
    </row>
    <row r="5500" spans="1:7" x14ac:dyDescent="0.3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</row>
    <row r="5501" spans="1:7" x14ac:dyDescent="0.3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 x14ac:dyDescent="0.3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 x14ac:dyDescent="0.3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G5503" s="1" t="s">
        <v>17393</v>
      </c>
    </row>
    <row r="5504" spans="1:7" x14ac:dyDescent="0.3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 x14ac:dyDescent="0.3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 x14ac:dyDescent="0.3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 x14ac:dyDescent="0.3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 x14ac:dyDescent="0.3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</row>
    <row r="5509" spans="1:7" x14ac:dyDescent="0.3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G5509" s="1" t="s">
        <v>17411</v>
      </c>
    </row>
    <row r="5510" spans="1:7" x14ac:dyDescent="0.3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 x14ac:dyDescent="0.3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G5511" s="1" t="s">
        <v>17416</v>
      </c>
    </row>
    <row r="5512" spans="1:7" x14ac:dyDescent="0.3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 x14ac:dyDescent="0.3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 x14ac:dyDescent="0.3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G5514" s="1" t="s">
        <v>17426</v>
      </c>
    </row>
    <row r="5515" spans="1:7" x14ac:dyDescent="0.3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 x14ac:dyDescent="0.3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 x14ac:dyDescent="0.3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 x14ac:dyDescent="0.3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 x14ac:dyDescent="0.3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 x14ac:dyDescent="0.3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G5520" s="1" t="s">
        <v>17426</v>
      </c>
    </row>
    <row r="5521" spans="1:7" x14ac:dyDescent="0.3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 x14ac:dyDescent="0.3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 x14ac:dyDescent="0.3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 x14ac:dyDescent="0.3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 x14ac:dyDescent="0.3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 x14ac:dyDescent="0.3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 x14ac:dyDescent="0.3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 x14ac:dyDescent="0.3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 x14ac:dyDescent="0.3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 x14ac:dyDescent="0.3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 x14ac:dyDescent="0.3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 x14ac:dyDescent="0.3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 x14ac:dyDescent="0.3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 x14ac:dyDescent="0.3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 x14ac:dyDescent="0.3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 x14ac:dyDescent="0.3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 x14ac:dyDescent="0.3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 x14ac:dyDescent="0.3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 x14ac:dyDescent="0.3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 x14ac:dyDescent="0.3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 x14ac:dyDescent="0.3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 x14ac:dyDescent="0.3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 x14ac:dyDescent="0.3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 x14ac:dyDescent="0.3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 x14ac:dyDescent="0.3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 x14ac:dyDescent="0.3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 x14ac:dyDescent="0.3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 x14ac:dyDescent="0.3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 x14ac:dyDescent="0.3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 x14ac:dyDescent="0.3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 x14ac:dyDescent="0.3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 x14ac:dyDescent="0.3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 x14ac:dyDescent="0.3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 x14ac:dyDescent="0.3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 x14ac:dyDescent="0.3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 x14ac:dyDescent="0.3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 x14ac:dyDescent="0.3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 x14ac:dyDescent="0.3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 x14ac:dyDescent="0.3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 x14ac:dyDescent="0.3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 x14ac:dyDescent="0.3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 x14ac:dyDescent="0.3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 x14ac:dyDescent="0.3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 x14ac:dyDescent="0.3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G5564" s="1" t="s">
        <v>17585</v>
      </c>
    </row>
    <row r="5565" spans="1:7" x14ac:dyDescent="0.3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 x14ac:dyDescent="0.3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 x14ac:dyDescent="0.3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 x14ac:dyDescent="0.3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 x14ac:dyDescent="0.3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 x14ac:dyDescent="0.3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 x14ac:dyDescent="0.3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 x14ac:dyDescent="0.3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 x14ac:dyDescent="0.3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 x14ac:dyDescent="0.3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 x14ac:dyDescent="0.3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 x14ac:dyDescent="0.3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 x14ac:dyDescent="0.3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 x14ac:dyDescent="0.3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 x14ac:dyDescent="0.3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 x14ac:dyDescent="0.3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</row>
    <row r="5581" spans="1:7" x14ac:dyDescent="0.3">
      <c r="A5581" s="1" t="s">
        <v>21</v>
      </c>
      <c r="B5581" s="1" t="s">
        <v>17641</v>
      </c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 x14ac:dyDescent="0.3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 x14ac:dyDescent="0.3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 x14ac:dyDescent="0.3">
      <c r="A5584" s="1" t="s">
        <v>30</v>
      </c>
      <c r="B5584" s="1" t="s">
        <v>17652</v>
      </c>
      <c r="D5584" s="1" t="s">
        <v>15825</v>
      </c>
      <c r="E5584" s="1" t="s">
        <v>15825</v>
      </c>
      <c r="G5584" s="1" t="s">
        <v>17653</v>
      </c>
    </row>
    <row r="5585" spans="1:7" x14ac:dyDescent="0.3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</row>
    <row r="5586" spans="1:7" x14ac:dyDescent="0.3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</row>
    <row r="5587" spans="1:7" x14ac:dyDescent="0.3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 x14ac:dyDescent="0.3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 x14ac:dyDescent="0.3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 x14ac:dyDescent="0.3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</row>
    <row r="5591" spans="1:7" x14ac:dyDescent="0.3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G5591" s="1" t="s">
        <v>17674</v>
      </c>
    </row>
    <row r="5592" spans="1:7" x14ac:dyDescent="0.3">
      <c r="A5592" s="1" t="s">
        <v>36</v>
      </c>
      <c r="B5592" s="1" t="s">
        <v>17675</v>
      </c>
      <c r="D5592" s="1" t="s">
        <v>17666</v>
      </c>
    </row>
    <row r="5593" spans="1:7" x14ac:dyDescent="0.3">
      <c r="A5593" s="1" t="s">
        <v>30</v>
      </c>
      <c r="B5593" s="1" t="s">
        <v>17676</v>
      </c>
      <c r="C5593" s="1" t="s">
        <v>17677</v>
      </c>
      <c r="D5593" s="1" t="s">
        <v>17666</v>
      </c>
    </row>
    <row r="5594" spans="1:7" x14ac:dyDescent="0.3">
      <c r="A5594" s="1" t="s">
        <v>30</v>
      </c>
      <c r="B5594" s="1" t="s">
        <v>17678</v>
      </c>
      <c r="C5594" s="1" t="s">
        <v>17679</v>
      </c>
      <c r="D5594" s="1" t="s">
        <v>17666</v>
      </c>
      <c r="F5594" s="1" t="s">
        <v>17680</v>
      </c>
      <c r="G5594" s="1" t="s">
        <v>17681</v>
      </c>
    </row>
    <row r="5595" spans="1:7" x14ac:dyDescent="0.3">
      <c r="A5595" s="1" t="s">
        <v>30</v>
      </c>
      <c r="B5595" s="1" t="s">
        <v>17682</v>
      </c>
      <c r="C5595" s="1" t="s">
        <v>17683</v>
      </c>
      <c r="D5595" s="1" t="s">
        <v>17666</v>
      </c>
      <c r="F5595" s="1" t="s">
        <v>17684</v>
      </c>
      <c r="G5595" s="1" t="s">
        <v>17685</v>
      </c>
    </row>
    <row r="5596" spans="1:7" x14ac:dyDescent="0.3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G5596" s="1" t="s">
        <v>17689</v>
      </c>
    </row>
    <row r="5597" spans="1:7" x14ac:dyDescent="0.3">
      <c r="A5597" s="1" t="s">
        <v>30</v>
      </c>
      <c r="B5597" s="1" t="s">
        <v>17690</v>
      </c>
      <c r="C5597" s="1" t="s">
        <v>17691</v>
      </c>
      <c r="D5597" s="1" t="s">
        <v>17666</v>
      </c>
      <c r="G5597" s="1" t="s">
        <v>17692</v>
      </c>
    </row>
    <row r="5598" spans="1:7" x14ac:dyDescent="0.3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G5598" s="1" t="s">
        <v>17695</v>
      </c>
    </row>
    <row r="5599" spans="1:7" x14ac:dyDescent="0.3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G5599" s="1" t="s">
        <v>17699</v>
      </c>
    </row>
    <row r="5600" spans="1:7" x14ac:dyDescent="0.3">
      <c r="A5600" s="1" t="s">
        <v>21</v>
      </c>
      <c r="B5600" s="1" t="s">
        <v>13469</v>
      </c>
      <c r="C5600" s="1" t="s">
        <v>17700</v>
      </c>
      <c r="D5600" s="1" t="s">
        <v>17698</v>
      </c>
      <c r="F5600" s="1" t="s">
        <v>17701</v>
      </c>
      <c r="G5600" s="1" t="s">
        <v>17702</v>
      </c>
    </row>
    <row r="5601" spans="1:7" x14ac:dyDescent="0.3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 x14ac:dyDescent="0.3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 x14ac:dyDescent="0.3">
      <c r="A5603" s="1" t="s">
        <v>30</v>
      </c>
      <c r="B5603" s="1" t="s">
        <v>17713</v>
      </c>
      <c r="C5603" s="1" t="s">
        <v>17714</v>
      </c>
      <c r="D5603" s="1" t="s">
        <v>17710</v>
      </c>
      <c r="G5603" s="1" t="s">
        <v>17715</v>
      </c>
    </row>
    <row r="5604" spans="1:7" x14ac:dyDescent="0.3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 x14ac:dyDescent="0.3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 x14ac:dyDescent="0.3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 x14ac:dyDescent="0.3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</row>
    <row r="5608" spans="1:7" x14ac:dyDescent="0.3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 x14ac:dyDescent="0.3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 x14ac:dyDescent="0.3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G5610" s="1" t="s">
        <v>17739</v>
      </c>
    </row>
    <row r="5611" spans="1:7" x14ac:dyDescent="0.3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 x14ac:dyDescent="0.3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 x14ac:dyDescent="0.3">
      <c r="A5613" s="1" t="s">
        <v>680</v>
      </c>
      <c r="B5613" s="1" t="s">
        <v>17716</v>
      </c>
      <c r="D5613" s="1" t="s">
        <v>17710</v>
      </c>
      <c r="F5613" s="1" t="s">
        <v>17719</v>
      </c>
      <c r="G5613" s="1" t="s">
        <v>17718</v>
      </c>
    </row>
    <row r="5614" spans="1:7" x14ac:dyDescent="0.3">
      <c r="A5614" s="1" t="s">
        <v>680</v>
      </c>
      <c r="B5614" s="1" t="s">
        <v>17744</v>
      </c>
      <c r="D5614" s="1" t="s">
        <v>17710</v>
      </c>
      <c r="E5614" s="1" t="s">
        <v>17742</v>
      </c>
    </row>
    <row r="5615" spans="1:7" x14ac:dyDescent="0.3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 x14ac:dyDescent="0.3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G5616" s="1" t="s">
        <v>17753</v>
      </c>
    </row>
    <row r="5617" spans="1:7" x14ac:dyDescent="0.3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G5617" s="1" t="s">
        <v>17756</v>
      </c>
    </row>
    <row r="5618" spans="1:7" x14ac:dyDescent="0.3">
      <c r="A5618" s="1" t="s">
        <v>13</v>
      </c>
      <c r="B5618" s="1" t="s">
        <v>17757</v>
      </c>
      <c r="D5618" s="1" t="s">
        <v>17752</v>
      </c>
    </row>
    <row r="5619" spans="1:7" x14ac:dyDescent="0.3">
      <c r="A5619" s="1" t="s">
        <v>13</v>
      </c>
      <c r="B5619" s="1" t="s">
        <v>17758</v>
      </c>
      <c r="C5619" s="1" t="s">
        <v>17759</v>
      </c>
      <c r="D5619" s="1" t="s">
        <v>17752</v>
      </c>
      <c r="F5619" s="1" t="s">
        <v>17760</v>
      </c>
      <c r="G5619" s="1" t="s">
        <v>17761</v>
      </c>
    </row>
    <row r="5620" spans="1:7" x14ac:dyDescent="0.3">
      <c r="A5620" s="1" t="s">
        <v>36</v>
      </c>
      <c r="B5620" s="1" t="s">
        <v>17762</v>
      </c>
      <c r="C5620" s="1" t="s">
        <v>17763</v>
      </c>
      <c r="D5620" s="1" t="s">
        <v>17752</v>
      </c>
      <c r="G5620" s="1" t="s">
        <v>17764</v>
      </c>
    </row>
    <row r="5621" spans="1:7" x14ac:dyDescent="0.3">
      <c r="A5621" s="1" t="s">
        <v>83</v>
      </c>
      <c r="B5621" s="1" t="s">
        <v>17765</v>
      </c>
      <c r="D5621" s="1" t="s">
        <v>17752</v>
      </c>
      <c r="E5621" s="1" t="s">
        <v>17752</v>
      </c>
      <c r="G5621" s="1" t="s">
        <v>17766</v>
      </c>
    </row>
    <row r="5622" spans="1:7" x14ac:dyDescent="0.3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 x14ac:dyDescent="0.3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G5623" s="1" t="s">
        <v>17773</v>
      </c>
    </row>
    <row r="5624" spans="1:7" x14ac:dyDescent="0.3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</row>
    <row r="5625" spans="1:7" x14ac:dyDescent="0.3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 x14ac:dyDescent="0.3">
      <c r="A5626" s="1" t="s">
        <v>36</v>
      </c>
      <c r="B5626" s="1" t="s">
        <v>17779</v>
      </c>
      <c r="D5626" s="1" t="s">
        <v>17752</v>
      </c>
      <c r="E5626" s="1" t="s">
        <v>17752</v>
      </c>
      <c r="G5626" s="1" t="s">
        <v>17780</v>
      </c>
    </row>
    <row r="5627" spans="1:7" x14ac:dyDescent="0.3">
      <c r="A5627" s="1" t="s">
        <v>83</v>
      </c>
      <c r="B5627" s="1" t="s">
        <v>12531</v>
      </c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 x14ac:dyDescent="0.3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 x14ac:dyDescent="0.3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G5629" s="1" t="s">
        <v>17787</v>
      </c>
    </row>
    <row r="5630" spans="1:7" x14ac:dyDescent="0.3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 x14ac:dyDescent="0.3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 x14ac:dyDescent="0.3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G5632" s="1" t="s">
        <v>17799</v>
      </c>
    </row>
    <row r="5633" spans="1:7" x14ac:dyDescent="0.3">
      <c r="A5633" s="1" t="s">
        <v>13</v>
      </c>
      <c r="B5633" s="1" t="s">
        <v>17757</v>
      </c>
      <c r="C5633" s="1" t="s">
        <v>17800</v>
      </c>
      <c r="D5633" s="1" t="s">
        <v>17752</v>
      </c>
      <c r="G5633" s="1" t="s">
        <v>17801</v>
      </c>
    </row>
    <row r="5634" spans="1:7" x14ac:dyDescent="0.3">
      <c r="A5634" s="1" t="s">
        <v>13</v>
      </c>
      <c r="B5634" s="1" t="s">
        <v>17802</v>
      </c>
      <c r="C5634" s="1" t="s">
        <v>17803</v>
      </c>
      <c r="D5634" s="1" t="s">
        <v>17752</v>
      </c>
      <c r="G5634" s="1" t="s">
        <v>17804</v>
      </c>
    </row>
    <row r="5635" spans="1:7" x14ac:dyDescent="0.3">
      <c r="A5635" s="1" t="s">
        <v>83</v>
      </c>
      <c r="B5635" s="1" t="s">
        <v>17805</v>
      </c>
      <c r="C5635" s="1" t="s">
        <v>5522</v>
      </c>
      <c r="D5635" s="1" t="s">
        <v>17752</v>
      </c>
      <c r="G5635" s="1" t="s">
        <v>17806</v>
      </c>
    </row>
    <row r="5636" spans="1:7" x14ac:dyDescent="0.3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G5636" s="1" t="s">
        <v>17810</v>
      </c>
    </row>
    <row r="5637" spans="1:7" x14ac:dyDescent="0.3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G5637" s="1" t="s">
        <v>17813</v>
      </c>
    </row>
    <row r="5638" spans="1:7" x14ac:dyDescent="0.3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G5638" s="1" t="s">
        <v>17816</v>
      </c>
    </row>
    <row r="5639" spans="1:7" x14ac:dyDescent="0.3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 x14ac:dyDescent="0.3">
      <c r="A5640" s="1" t="s">
        <v>89</v>
      </c>
      <c r="B5640" s="1" t="s">
        <v>17821</v>
      </c>
      <c r="D5640" s="1" t="s">
        <v>17752</v>
      </c>
      <c r="E5640" s="1" t="s">
        <v>17822</v>
      </c>
    </row>
    <row r="5641" spans="1:7" x14ac:dyDescent="0.3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 x14ac:dyDescent="0.3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G5642" s="1" t="s">
        <v>12528</v>
      </c>
    </row>
    <row r="5643" spans="1:7" x14ac:dyDescent="0.3">
      <c r="A5643" s="1" t="s">
        <v>89</v>
      </c>
      <c r="B5643" s="1" t="s">
        <v>138</v>
      </c>
      <c r="D5643" s="1" t="s">
        <v>17830</v>
      </c>
    </row>
    <row r="5644" spans="1:7" x14ac:dyDescent="0.3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G5644" s="1" t="s">
        <v>17833</v>
      </c>
    </row>
    <row r="5645" spans="1:7" x14ac:dyDescent="0.3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G5645" s="1" t="s">
        <v>17836</v>
      </c>
    </row>
    <row r="5646" spans="1:7" x14ac:dyDescent="0.3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</row>
    <row r="5647" spans="1:7" x14ac:dyDescent="0.3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</row>
    <row r="5648" spans="1:7" x14ac:dyDescent="0.3">
      <c r="A5648" s="1" t="s">
        <v>36</v>
      </c>
      <c r="B5648" s="1" t="s">
        <v>17841</v>
      </c>
      <c r="C5648" s="1" t="s">
        <v>17842</v>
      </c>
      <c r="D5648" s="1" t="s">
        <v>17830</v>
      </c>
      <c r="G5648" s="1" t="s">
        <v>17843</v>
      </c>
    </row>
    <row r="5649" spans="1:7" x14ac:dyDescent="0.3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G5649" s="1" t="s">
        <v>17847</v>
      </c>
    </row>
    <row r="5650" spans="1:7" x14ac:dyDescent="0.3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 x14ac:dyDescent="0.3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G5651" s="1" t="s">
        <v>17854</v>
      </c>
    </row>
    <row r="5652" spans="1:7" x14ac:dyDescent="0.3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 x14ac:dyDescent="0.3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</row>
    <row r="5654" spans="1:7" x14ac:dyDescent="0.3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 x14ac:dyDescent="0.3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 x14ac:dyDescent="0.3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 x14ac:dyDescent="0.3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 x14ac:dyDescent="0.3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 x14ac:dyDescent="0.3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</row>
    <row r="5660" spans="1:7" x14ac:dyDescent="0.3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 x14ac:dyDescent="0.3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 x14ac:dyDescent="0.3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G5662" s="1" t="s">
        <v>17897</v>
      </c>
    </row>
    <row r="5663" spans="1:7" x14ac:dyDescent="0.3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 x14ac:dyDescent="0.3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G5664" s="1" t="s">
        <v>17905</v>
      </c>
    </row>
    <row r="5665" spans="1:7" x14ac:dyDescent="0.3">
      <c r="A5665" s="1" t="s">
        <v>21</v>
      </c>
      <c r="B5665" s="1" t="s">
        <v>15360</v>
      </c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 x14ac:dyDescent="0.3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 x14ac:dyDescent="0.3">
      <c r="A5667" s="1" t="s">
        <v>36</v>
      </c>
      <c r="B5667" s="1" t="s">
        <v>17914</v>
      </c>
      <c r="C5667" s="1" t="s">
        <v>17915</v>
      </c>
      <c r="D5667" s="1" t="s">
        <v>17916</v>
      </c>
      <c r="F5667" s="1" t="s">
        <v>17917</v>
      </c>
      <c r="G5667" s="1" t="s">
        <v>17918</v>
      </c>
    </row>
    <row r="5668" spans="1:7" x14ac:dyDescent="0.3">
      <c r="A5668" s="1" t="s">
        <v>30</v>
      </c>
      <c r="B5668" s="1" t="s">
        <v>17919</v>
      </c>
      <c r="C5668" s="1" t="s">
        <v>17920</v>
      </c>
      <c r="D5668" s="1" t="s">
        <v>17916</v>
      </c>
    </row>
    <row r="5669" spans="1:7" x14ac:dyDescent="0.3">
      <c r="A5669" s="1" t="s">
        <v>89</v>
      </c>
      <c r="B5669" s="1" t="s">
        <v>17921</v>
      </c>
      <c r="D5669" s="1" t="s">
        <v>17916</v>
      </c>
      <c r="E5669" s="1" t="s">
        <v>17922</v>
      </c>
    </row>
    <row r="5670" spans="1:7" x14ac:dyDescent="0.3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 x14ac:dyDescent="0.3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</row>
    <row r="5672" spans="1:7" x14ac:dyDescent="0.3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 x14ac:dyDescent="0.3">
      <c r="A5673" s="1" t="s">
        <v>30</v>
      </c>
      <c r="B5673" s="1" t="s">
        <v>17933</v>
      </c>
      <c r="C5673" s="1" t="s">
        <v>17934</v>
      </c>
      <c r="D5673" s="1" t="s">
        <v>17916</v>
      </c>
      <c r="F5673" s="1" t="s">
        <v>17935</v>
      </c>
      <c r="G5673" s="1" t="s">
        <v>17936</v>
      </c>
    </row>
    <row r="5674" spans="1:7" x14ac:dyDescent="0.3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 x14ac:dyDescent="0.3">
      <c r="A5675" s="1" t="s">
        <v>30</v>
      </c>
      <c r="B5675" s="1" t="s">
        <v>17943</v>
      </c>
      <c r="C5675" s="1" t="s">
        <v>17944</v>
      </c>
      <c r="D5675" s="1" t="s">
        <v>17939</v>
      </c>
      <c r="G5675" s="1" t="s">
        <v>17945</v>
      </c>
    </row>
    <row r="5676" spans="1:7" x14ac:dyDescent="0.3">
      <c r="A5676" s="1" t="s">
        <v>13</v>
      </c>
      <c r="B5676" s="1" t="s">
        <v>17946</v>
      </c>
      <c r="C5676" s="1" t="s">
        <v>17947</v>
      </c>
      <c r="D5676" s="1" t="s">
        <v>17939</v>
      </c>
      <c r="G5676" s="1" t="s">
        <v>17948</v>
      </c>
    </row>
    <row r="5677" spans="1:7" x14ac:dyDescent="0.3">
      <c r="A5677" s="1" t="s">
        <v>13</v>
      </c>
      <c r="B5677" s="1" t="s">
        <v>17949</v>
      </c>
      <c r="C5677" s="1" t="s">
        <v>17950</v>
      </c>
      <c r="D5677" s="1" t="s">
        <v>17939</v>
      </c>
      <c r="G5677" s="1" t="s">
        <v>17951</v>
      </c>
    </row>
    <row r="5678" spans="1:7" x14ac:dyDescent="0.3">
      <c r="A5678" s="1" t="s">
        <v>30</v>
      </c>
      <c r="B5678" s="1" t="s">
        <v>17952</v>
      </c>
      <c r="C5678" s="1" t="s">
        <v>17953</v>
      </c>
      <c r="D5678" s="1" t="s">
        <v>17939</v>
      </c>
      <c r="F5678" s="1" t="s">
        <v>17954</v>
      </c>
      <c r="G5678" s="1" t="s">
        <v>17955</v>
      </c>
    </row>
    <row r="5679" spans="1:7" x14ac:dyDescent="0.3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 x14ac:dyDescent="0.3">
      <c r="A5680" s="1" t="s">
        <v>30</v>
      </c>
      <c r="B5680" s="1" t="s">
        <v>17960</v>
      </c>
      <c r="C5680" s="1" t="s">
        <v>17961</v>
      </c>
      <c r="D5680" s="1" t="s">
        <v>17939</v>
      </c>
      <c r="G5680" s="1" t="s">
        <v>17962</v>
      </c>
    </row>
    <row r="5681" spans="1:7" x14ac:dyDescent="0.3">
      <c r="A5681" s="1" t="s">
        <v>30</v>
      </c>
      <c r="B5681" s="1" t="s">
        <v>17963</v>
      </c>
      <c r="C5681" s="1" t="s">
        <v>17964</v>
      </c>
      <c r="D5681" s="1" t="s">
        <v>17939</v>
      </c>
      <c r="G5681" s="1" t="s">
        <v>17965</v>
      </c>
    </row>
    <row r="5682" spans="1:7" x14ac:dyDescent="0.3">
      <c r="A5682" s="1" t="s">
        <v>30</v>
      </c>
      <c r="B5682" s="1" t="s">
        <v>17966</v>
      </c>
      <c r="C5682" s="1" t="s">
        <v>17967</v>
      </c>
      <c r="D5682" s="1" t="s">
        <v>17939</v>
      </c>
      <c r="G5682" s="1" t="s">
        <v>17968</v>
      </c>
    </row>
    <row r="5683" spans="1:7" x14ac:dyDescent="0.3">
      <c r="A5683" s="1" t="s">
        <v>30</v>
      </c>
      <c r="B5683" s="1" t="s">
        <v>17969</v>
      </c>
      <c r="C5683" s="1" t="s">
        <v>17970</v>
      </c>
      <c r="D5683" s="1" t="s">
        <v>17939</v>
      </c>
      <c r="G5683" s="1" t="s">
        <v>17971</v>
      </c>
    </row>
    <row r="5684" spans="1:7" x14ac:dyDescent="0.3">
      <c r="A5684" s="1" t="s">
        <v>30</v>
      </c>
      <c r="B5684" s="1" t="s">
        <v>17972</v>
      </c>
      <c r="C5684" s="1" t="s">
        <v>17973</v>
      </c>
      <c r="D5684" s="1" t="s">
        <v>17939</v>
      </c>
      <c r="G5684" s="1" t="s">
        <v>17974</v>
      </c>
    </row>
    <row r="5685" spans="1:7" x14ac:dyDescent="0.3">
      <c r="A5685" s="1" t="s">
        <v>30</v>
      </c>
      <c r="B5685" s="1" t="s">
        <v>17975</v>
      </c>
      <c r="C5685" s="1" t="s">
        <v>17976</v>
      </c>
      <c r="D5685" s="1" t="s">
        <v>17939</v>
      </c>
      <c r="G5685" s="1" t="s">
        <v>17977</v>
      </c>
    </row>
    <row r="5686" spans="1:7" x14ac:dyDescent="0.3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G5686" s="1" t="s">
        <v>17980</v>
      </c>
    </row>
    <row r="5687" spans="1:7" x14ac:dyDescent="0.3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 x14ac:dyDescent="0.3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</row>
    <row r="5689" spans="1:7" x14ac:dyDescent="0.3">
      <c r="A5689" s="1" t="s">
        <v>30</v>
      </c>
      <c r="B5689" s="1" t="s">
        <v>17986</v>
      </c>
      <c r="C5689" s="1" t="s">
        <v>17987</v>
      </c>
      <c r="D5689" s="1" t="s">
        <v>17939</v>
      </c>
      <c r="G5689" s="1" t="s">
        <v>17988</v>
      </c>
    </row>
    <row r="5690" spans="1:7" x14ac:dyDescent="0.3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 x14ac:dyDescent="0.3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</row>
    <row r="5692" spans="1:7" x14ac:dyDescent="0.3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 x14ac:dyDescent="0.3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G5693" s="1" t="s">
        <v>18003</v>
      </c>
    </row>
    <row r="5694" spans="1:7" x14ac:dyDescent="0.3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 x14ac:dyDescent="0.3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G5695" s="1" t="s">
        <v>18010</v>
      </c>
    </row>
    <row r="5696" spans="1:7" x14ac:dyDescent="0.3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G5696" s="1" t="s">
        <v>18013</v>
      </c>
    </row>
    <row r="5697" spans="1:7" x14ac:dyDescent="0.3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 x14ac:dyDescent="0.3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G5698" s="1" t="s">
        <v>18020</v>
      </c>
    </row>
    <row r="5699" spans="1:7" x14ac:dyDescent="0.3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 x14ac:dyDescent="0.3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</row>
    <row r="5701" spans="1:7" x14ac:dyDescent="0.3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 x14ac:dyDescent="0.3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</row>
    <row r="5703" spans="1:7" x14ac:dyDescent="0.3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 x14ac:dyDescent="0.3">
      <c r="A5704" s="1" t="s">
        <v>36</v>
      </c>
      <c r="B5704" s="1" t="s">
        <v>10781</v>
      </c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 x14ac:dyDescent="0.3">
      <c r="A5705" s="1" t="s">
        <v>30</v>
      </c>
      <c r="B5705" s="1" t="s">
        <v>18038</v>
      </c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 x14ac:dyDescent="0.3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G5706" s="1" t="s">
        <v>18043</v>
      </c>
    </row>
    <row r="5707" spans="1:7" x14ac:dyDescent="0.3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 x14ac:dyDescent="0.3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 x14ac:dyDescent="0.3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 x14ac:dyDescent="0.3">
      <c r="A5710" s="1" t="s">
        <v>572</v>
      </c>
      <c r="B5710" s="1" t="s">
        <v>18058</v>
      </c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 x14ac:dyDescent="0.3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 x14ac:dyDescent="0.3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 x14ac:dyDescent="0.3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</row>
    <row r="5714" spans="1:7" x14ac:dyDescent="0.3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 x14ac:dyDescent="0.3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G5715" s="1" t="s">
        <v>18078</v>
      </c>
    </row>
    <row r="5716" spans="1:7" x14ac:dyDescent="0.3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 x14ac:dyDescent="0.3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 x14ac:dyDescent="0.3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</row>
    <row r="5719" spans="1:7" x14ac:dyDescent="0.3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</row>
    <row r="5720" spans="1:7" x14ac:dyDescent="0.3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</row>
    <row r="5721" spans="1:7" x14ac:dyDescent="0.3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</row>
    <row r="5722" spans="1:7" x14ac:dyDescent="0.3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</row>
    <row r="5723" spans="1:7" x14ac:dyDescent="0.3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</row>
    <row r="5724" spans="1:7" x14ac:dyDescent="0.3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</row>
    <row r="5725" spans="1:7" x14ac:dyDescent="0.3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</row>
    <row r="5726" spans="1:7" x14ac:dyDescent="0.3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</row>
    <row r="5727" spans="1:7" x14ac:dyDescent="0.3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</row>
    <row r="5728" spans="1:7" x14ac:dyDescent="0.3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</row>
    <row r="5729" spans="1:7" x14ac:dyDescent="0.3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</row>
    <row r="5730" spans="1:7" x14ac:dyDescent="0.3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</row>
    <row r="5731" spans="1:7" x14ac:dyDescent="0.3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</row>
    <row r="5732" spans="1:7" x14ac:dyDescent="0.3">
      <c r="A5732" s="1" t="s">
        <v>680</v>
      </c>
      <c r="B5732" s="1" t="s">
        <v>18106</v>
      </c>
      <c r="D5732" s="1" t="s">
        <v>17939</v>
      </c>
      <c r="E5732" s="1" t="s">
        <v>18099</v>
      </c>
    </row>
    <row r="5733" spans="1:7" x14ac:dyDescent="0.3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 x14ac:dyDescent="0.3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 x14ac:dyDescent="0.3">
      <c r="A5735" s="1" t="s">
        <v>572</v>
      </c>
      <c r="B5735" s="1" t="s">
        <v>9904</v>
      </c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 x14ac:dyDescent="0.3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 x14ac:dyDescent="0.3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 x14ac:dyDescent="0.3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 x14ac:dyDescent="0.3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 x14ac:dyDescent="0.3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 x14ac:dyDescent="0.3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G5741" s="1" t="s">
        <v>18138</v>
      </c>
    </row>
    <row r="5742" spans="1:7" x14ac:dyDescent="0.3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 x14ac:dyDescent="0.3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 x14ac:dyDescent="0.3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 x14ac:dyDescent="0.3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 x14ac:dyDescent="0.3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 x14ac:dyDescent="0.3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G5747" s="1" t="s">
        <v>18160</v>
      </c>
    </row>
    <row r="5748" spans="1:7" x14ac:dyDescent="0.3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G5748" s="1" t="s">
        <v>18163</v>
      </c>
    </row>
    <row r="5749" spans="1:7" x14ac:dyDescent="0.3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</row>
    <row r="5750" spans="1:7" x14ac:dyDescent="0.3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 x14ac:dyDescent="0.3">
      <c r="A5751" s="1" t="s">
        <v>30</v>
      </c>
      <c r="B5751" s="1" t="s">
        <v>18170</v>
      </c>
      <c r="D5751" s="1" t="s">
        <v>17939</v>
      </c>
      <c r="E5751" s="1" t="s">
        <v>17997</v>
      </c>
    </row>
    <row r="5752" spans="1:7" x14ac:dyDescent="0.3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G5752" s="1" t="s">
        <v>18173</v>
      </c>
    </row>
    <row r="5753" spans="1:7" x14ac:dyDescent="0.3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</row>
    <row r="5754" spans="1:7" x14ac:dyDescent="0.3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</row>
    <row r="5755" spans="1:7" x14ac:dyDescent="0.3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 x14ac:dyDescent="0.3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</row>
    <row r="5757" spans="1:7" x14ac:dyDescent="0.3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 x14ac:dyDescent="0.3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G5758" s="1" t="s">
        <v>18188</v>
      </c>
    </row>
    <row r="5759" spans="1:7" x14ac:dyDescent="0.3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 x14ac:dyDescent="0.3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 x14ac:dyDescent="0.3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</row>
    <row r="5762" spans="1:7" x14ac:dyDescent="0.3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 x14ac:dyDescent="0.3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 x14ac:dyDescent="0.3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 x14ac:dyDescent="0.3">
      <c r="A5765" s="1" t="s">
        <v>83</v>
      </c>
      <c r="B5765" s="1" t="s">
        <v>18209</v>
      </c>
      <c r="D5765" s="1" t="s">
        <v>17939</v>
      </c>
    </row>
    <row r="5766" spans="1:7" x14ac:dyDescent="0.3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G5766" s="1" t="s">
        <v>18212</v>
      </c>
    </row>
    <row r="5767" spans="1:7" x14ac:dyDescent="0.3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 x14ac:dyDescent="0.3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 x14ac:dyDescent="0.3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 x14ac:dyDescent="0.3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G5770" s="1" t="s">
        <v>18225</v>
      </c>
    </row>
    <row r="5771" spans="1:7" x14ac:dyDescent="0.3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 x14ac:dyDescent="0.3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 x14ac:dyDescent="0.3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 x14ac:dyDescent="0.3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G5774" s="1" t="s">
        <v>18241</v>
      </c>
    </row>
    <row r="5775" spans="1:7" x14ac:dyDescent="0.3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 x14ac:dyDescent="0.3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 x14ac:dyDescent="0.3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G5777" s="1" t="s">
        <v>18252</v>
      </c>
    </row>
    <row r="5778" spans="1:7" x14ac:dyDescent="0.3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G5778" s="1" t="s">
        <v>18255</v>
      </c>
    </row>
    <row r="5779" spans="1:7" x14ac:dyDescent="0.3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 x14ac:dyDescent="0.3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 x14ac:dyDescent="0.3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 x14ac:dyDescent="0.3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 x14ac:dyDescent="0.3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 x14ac:dyDescent="0.3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G5784" s="1" t="s">
        <v>18276</v>
      </c>
    </row>
    <row r="5785" spans="1:7" x14ac:dyDescent="0.3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 x14ac:dyDescent="0.3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</row>
    <row r="5787" spans="1:7" x14ac:dyDescent="0.3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</row>
    <row r="5788" spans="1:7" x14ac:dyDescent="0.3">
      <c r="A5788" s="1" t="s">
        <v>89</v>
      </c>
      <c r="B5788" s="1" t="s">
        <v>18285</v>
      </c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 x14ac:dyDescent="0.3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 x14ac:dyDescent="0.3">
      <c r="A5790" s="1" t="s">
        <v>30</v>
      </c>
      <c r="B5790" s="1" t="s">
        <v>18292</v>
      </c>
      <c r="C5790" s="1" t="s">
        <v>18293</v>
      </c>
      <c r="D5790" s="1" t="s">
        <v>17939</v>
      </c>
      <c r="G5790" s="1" t="s">
        <v>18294</v>
      </c>
    </row>
    <row r="5791" spans="1:7" x14ac:dyDescent="0.3">
      <c r="A5791" s="1" t="s">
        <v>30</v>
      </c>
      <c r="B5791" s="1" t="s">
        <v>18295</v>
      </c>
      <c r="C5791" s="1" t="s">
        <v>18296</v>
      </c>
      <c r="D5791" s="1" t="s">
        <v>17939</v>
      </c>
      <c r="G5791" s="1" t="s">
        <v>18297</v>
      </c>
    </row>
    <row r="5792" spans="1:7" x14ac:dyDescent="0.3">
      <c r="A5792" s="1" t="s">
        <v>30</v>
      </c>
      <c r="B5792" s="1" t="s">
        <v>18298</v>
      </c>
      <c r="C5792" s="1" t="s">
        <v>18296</v>
      </c>
      <c r="D5792" s="1" t="s">
        <v>17939</v>
      </c>
      <c r="G5792" s="1" t="s">
        <v>18297</v>
      </c>
    </row>
    <row r="5793" spans="1:7" x14ac:dyDescent="0.3">
      <c r="A5793" s="1" t="s">
        <v>30</v>
      </c>
      <c r="B5793" s="1" t="s">
        <v>18299</v>
      </c>
      <c r="C5793" s="1" t="s">
        <v>18300</v>
      </c>
      <c r="D5793" s="1" t="s">
        <v>17939</v>
      </c>
    </row>
    <row r="5794" spans="1:7" x14ac:dyDescent="0.3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 x14ac:dyDescent="0.3">
      <c r="A5795" s="1" t="s">
        <v>36</v>
      </c>
      <c r="B5795" s="1" t="s">
        <v>6409</v>
      </c>
      <c r="C5795" s="1" t="s">
        <v>18306</v>
      </c>
      <c r="D5795" s="1" t="s">
        <v>17939</v>
      </c>
      <c r="F5795" s="1" t="s">
        <v>18307</v>
      </c>
      <c r="G5795" s="1" t="s">
        <v>18308</v>
      </c>
    </row>
    <row r="5796" spans="1:7" x14ac:dyDescent="0.3">
      <c r="A5796" s="1" t="s">
        <v>83</v>
      </c>
      <c r="B5796" s="1" t="s">
        <v>18309</v>
      </c>
      <c r="C5796" s="1" t="s">
        <v>18310</v>
      </c>
      <c r="D5796" s="1" t="s">
        <v>17939</v>
      </c>
      <c r="G5796" s="1" t="s">
        <v>18311</v>
      </c>
    </row>
    <row r="5797" spans="1:7" x14ac:dyDescent="0.3">
      <c r="A5797" s="1" t="s">
        <v>30</v>
      </c>
      <c r="B5797" s="1" t="s">
        <v>18312</v>
      </c>
      <c r="C5797" s="1" t="s">
        <v>18313</v>
      </c>
      <c r="D5797" s="1" t="s">
        <v>17939</v>
      </c>
      <c r="G5797" s="1" t="s">
        <v>18314</v>
      </c>
    </row>
    <row r="5798" spans="1:7" x14ac:dyDescent="0.3">
      <c r="A5798" s="1" t="s">
        <v>30</v>
      </c>
      <c r="B5798" s="1" t="s">
        <v>6338</v>
      </c>
      <c r="C5798" s="1" t="s">
        <v>18315</v>
      </c>
      <c r="D5798" s="1" t="s">
        <v>17939</v>
      </c>
      <c r="F5798" s="1" t="s">
        <v>18316</v>
      </c>
      <c r="G5798" s="1" t="s">
        <v>18317</v>
      </c>
    </row>
    <row r="5799" spans="1:7" x14ac:dyDescent="0.3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 x14ac:dyDescent="0.3">
      <c r="A5800" s="1" t="s">
        <v>30</v>
      </c>
      <c r="B5800" s="1" t="s">
        <v>18323</v>
      </c>
      <c r="C5800" s="1" t="s">
        <v>18324</v>
      </c>
      <c r="D5800" s="1" t="s">
        <v>17939</v>
      </c>
    </row>
    <row r="5801" spans="1:7" x14ac:dyDescent="0.3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 x14ac:dyDescent="0.3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 x14ac:dyDescent="0.3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G5803" s="1" t="s">
        <v>18337</v>
      </c>
    </row>
    <row r="5804" spans="1:7" x14ac:dyDescent="0.3">
      <c r="A5804" s="1" t="s">
        <v>30</v>
      </c>
      <c r="B5804" s="1" t="s">
        <v>18338</v>
      </c>
      <c r="C5804" s="1" t="s">
        <v>18339</v>
      </c>
      <c r="D5804" s="1" t="s">
        <v>17939</v>
      </c>
      <c r="F5804" s="1" t="s">
        <v>18340</v>
      </c>
      <c r="G5804" s="1" t="s">
        <v>18341</v>
      </c>
    </row>
    <row r="5805" spans="1:7" x14ac:dyDescent="0.3">
      <c r="A5805" s="1" t="s">
        <v>1201</v>
      </c>
      <c r="B5805" s="1" t="s">
        <v>18342</v>
      </c>
      <c r="C5805" s="1" t="s">
        <v>18343</v>
      </c>
      <c r="D5805" s="1" t="s">
        <v>17939</v>
      </c>
      <c r="F5805" s="1" t="s">
        <v>18344</v>
      </c>
      <c r="G5805" s="1" t="s">
        <v>18345</v>
      </c>
    </row>
    <row r="5806" spans="1:7" x14ac:dyDescent="0.3">
      <c r="A5806" s="1" t="s">
        <v>30</v>
      </c>
      <c r="B5806" s="1" t="s">
        <v>18346</v>
      </c>
      <c r="C5806" s="1" t="s">
        <v>18347</v>
      </c>
      <c r="D5806" s="1" t="s">
        <v>17939</v>
      </c>
      <c r="F5806" s="1" t="s">
        <v>18348</v>
      </c>
      <c r="G5806" s="1" t="s">
        <v>18349</v>
      </c>
    </row>
    <row r="5807" spans="1:7" x14ac:dyDescent="0.3">
      <c r="A5807" s="1" t="s">
        <v>30</v>
      </c>
      <c r="B5807" s="1" t="s">
        <v>18350</v>
      </c>
      <c r="C5807" s="1" t="s">
        <v>18351</v>
      </c>
      <c r="D5807" s="1" t="s">
        <v>17939</v>
      </c>
      <c r="G5807" s="1" t="s">
        <v>18352</v>
      </c>
    </row>
    <row r="5808" spans="1:7" x14ac:dyDescent="0.3">
      <c r="A5808" s="1" t="s">
        <v>30</v>
      </c>
      <c r="B5808" s="1" t="s">
        <v>18353</v>
      </c>
      <c r="C5808" s="1" t="s">
        <v>18354</v>
      </c>
      <c r="D5808" s="1" t="s">
        <v>17939</v>
      </c>
      <c r="F5808" s="1" t="s">
        <v>18355</v>
      </c>
      <c r="G5808" s="1" t="s">
        <v>18356</v>
      </c>
    </row>
    <row r="5809" spans="1:7" x14ac:dyDescent="0.3">
      <c r="A5809" s="1" t="s">
        <v>30</v>
      </c>
      <c r="B5809" s="1" t="s">
        <v>18357</v>
      </c>
      <c r="C5809" s="1" t="s">
        <v>18358</v>
      </c>
      <c r="D5809" s="1" t="s">
        <v>17939</v>
      </c>
      <c r="G5809" s="1" t="s">
        <v>18359</v>
      </c>
    </row>
    <row r="5810" spans="1:7" x14ac:dyDescent="0.3">
      <c r="A5810" s="1" t="s">
        <v>30</v>
      </c>
      <c r="B5810" s="1" t="s">
        <v>18360</v>
      </c>
      <c r="C5810" s="1" t="s">
        <v>18361</v>
      </c>
      <c r="D5810" s="1" t="s">
        <v>17939</v>
      </c>
      <c r="F5810" s="1" t="s">
        <v>18362</v>
      </c>
      <c r="G5810" s="1" t="s">
        <v>18363</v>
      </c>
    </row>
    <row r="5811" spans="1:7" x14ac:dyDescent="0.3">
      <c r="A5811" s="1" t="s">
        <v>30</v>
      </c>
      <c r="B5811" s="1" t="s">
        <v>18364</v>
      </c>
      <c r="C5811" s="1" t="s">
        <v>18365</v>
      </c>
      <c r="D5811" s="1" t="s">
        <v>17939</v>
      </c>
      <c r="G5811" s="1" t="s">
        <v>18366</v>
      </c>
    </row>
    <row r="5812" spans="1:7" x14ac:dyDescent="0.3">
      <c r="A5812" s="1" t="s">
        <v>36</v>
      </c>
      <c r="B5812" s="1" t="s">
        <v>18367</v>
      </c>
      <c r="C5812" s="1" t="s">
        <v>18368</v>
      </c>
      <c r="D5812" s="1" t="s">
        <v>18369</v>
      </c>
      <c r="F5812" s="1" t="s">
        <v>18370</v>
      </c>
      <c r="G5812" s="1" t="s">
        <v>18371</v>
      </c>
    </row>
    <row r="5813" spans="1:7" x14ac:dyDescent="0.3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 x14ac:dyDescent="0.3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 x14ac:dyDescent="0.3">
      <c r="A5815" s="1" t="s">
        <v>7</v>
      </c>
      <c r="B5815" s="1" t="s">
        <v>18382</v>
      </c>
      <c r="C5815" s="1" t="s">
        <v>18383</v>
      </c>
      <c r="D5815" s="1" t="s">
        <v>18379</v>
      </c>
      <c r="F5815" s="1" t="s">
        <v>18384</v>
      </c>
      <c r="G5815" s="1" t="s">
        <v>18385</v>
      </c>
    </row>
    <row r="5816" spans="1:7" x14ac:dyDescent="0.3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 x14ac:dyDescent="0.3">
      <c r="A5817" s="1" t="s">
        <v>30</v>
      </c>
      <c r="B5817" s="1" t="s">
        <v>18390</v>
      </c>
      <c r="C5817" s="1" t="s">
        <v>18391</v>
      </c>
      <c r="D5817" s="1" t="s">
        <v>18379</v>
      </c>
      <c r="F5817" s="1" t="s">
        <v>18392</v>
      </c>
      <c r="G5817" s="1" t="s">
        <v>18393</v>
      </c>
    </row>
    <row r="5818" spans="1:7" x14ac:dyDescent="0.3">
      <c r="A5818" s="1" t="s">
        <v>30</v>
      </c>
      <c r="B5818" s="1" t="s">
        <v>18394</v>
      </c>
      <c r="C5818" s="1" t="s">
        <v>18395</v>
      </c>
      <c r="D5818" s="1" t="s">
        <v>18396</v>
      </c>
      <c r="G5818" s="1" t="s">
        <v>18397</v>
      </c>
    </row>
    <row r="5819" spans="1:7" x14ac:dyDescent="0.3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G5819" s="1" t="s">
        <v>18399</v>
      </c>
    </row>
    <row r="5820" spans="1:7" x14ac:dyDescent="0.3">
      <c r="A5820" s="1" t="s">
        <v>30</v>
      </c>
      <c r="B5820" s="1" t="s">
        <v>18400</v>
      </c>
      <c r="C5820" s="1" t="s">
        <v>18401</v>
      </c>
      <c r="D5820" s="1" t="s">
        <v>18396</v>
      </c>
      <c r="F5820" s="1" t="s">
        <v>18402</v>
      </c>
      <c r="G5820" s="1" t="s">
        <v>18403</v>
      </c>
    </row>
    <row r="5821" spans="1:7" x14ac:dyDescent="0.3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 x14ac:dyDescent="0.3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 x14ac:dyDescent="0.3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 x14ac:dyDescent="0.3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 x14ac:dyDescent="0.3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</row>
    <row r="5826" spans="1:7" x14ac:dyDescent="0.3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</row>
    <row r="5827" spans="1:7" x14ac:dyDescent="0.3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 x14ac:dyDescent="0.3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 x14ac:dyDescent="0.3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</row>
    <row r="5830" spans="1:7" x14ac:dyDescent="0.3">
      <c r="A5830" s="1" t="s">
        <v>30</v>
      </c>
      <c r="B5830" s="1" t="s">
        <v>18434</v>
      </c>
      <c r="C5830" s="1" t="s">
        <v>18435</v>
      </c>
      <c r="D5830" s="1" t="s">
        <v>18396</v>
      </c>
      <c r="G5830" s="1" t="s">
        <v>18436</v>
      </c>
    </row>
    <row r="5831" spans="1:7" x14ac:dyDescent="0.3">
      <c r="A5831" s="1" t="s">
        <v>30</v>
      </c>
      <c r="B5831" s="1" t="s">
        <v>18437</v>
      </c>
      <c r="C5831" s="1" t="s">
        <v>18438</v>
      </c>
      <c r="D5831" s="1" t="s">
        <v>18396</v>
      </c>
      <c r="G5831" s="1" t="s">
        <v>18439</v>
      </c>
    </row>
    <row r="5832" spans="1:7" x14ac:dyDescent="0.3">
      <c r="A5832" s="1" t="s">
        <v>13</v>
      </c>
      <c r="B5832" s="1" t="s">
        <v>18440</v>
      </c>
      <c r="C5832" s="1" t="s">
        <v>18441</v>
      </c>
      <c r="D5832" s="1" t="s">
        <v>18396</v>
      </c>
      <c r="G5832" s="1" t="s">
        <v>18442</v>
      </c>
    </row>
    <row r="5833" spans="1:7" x14ac:dyDescent="0.3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 x14ac:dyDescent="0.3">
      <c r="A5834" s="1" t="s">
        <v>83</v>
      </c>
      <c r="B5834" s="1" t="s">
        <v>18448</v>
      </c>
      <c r="C5834" s="1" t="s">
        <v>18449</v>
      </c>
      <c r="D5834" s="1" t="s">
        <v>18396</v>
      </c>
      <c r="G5834" s="1" t="s">
        <v>18450</v>
      </c>
    </row>
    <row r="5835" spans="1:7" x14ac:dyDescent="0.3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 x14ac:dyDescent="0.3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G5836" s="1" t="s">
        <v>18457</v>
      </c>
    </row>
    <row r="5837" spans="1:7" x14ac:dyDescent="0.3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 x14ac:dyDescent="0.3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 x14ac:dyDescent="0.3">
      <c r="A5839" s="1" t="s">
        <v>30</v>
      </c>
      <c r="B5839" s="1" t="s">
        <v>18466</v>
      </c>
      <c r="C5839" s="1" t="s">
        <v>18467</v>
      </c>
      <c r="D5839" s="1" t="s">
        <v>18396</v>
      </c>
    </row>
    <row r="5840" spans="1:7" x14ac:dyDescent="0.3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</row>
    <row r="5841" spans="1:7" x14ac:dyDescent="0.3">
      <c r="A5841" s="1" t="s">
        <v>30</v>
      </c>
      <c r="B5841" s="1" t="s">
        <v>18472</v>
      </c>
      <c r="C5841" s="1" t="s">
        <v>18473</v>
      </c>
      <c r="D5841" s="1" t="s">
        <v>18470</v>
      </c>
      <c r="G5841" s="1" t="s">
        <v>18474</v>
      </c>
    </row>
    <row r="5842" spans="1:7" x14ac:dyDescent="0.3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 x14ac:dyDescent="0.3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G5843" s="1" t="s">
        <v>18482</v>
      </c>
    </row>
    <row r="5844" spans="1:7" x14ac:dyDescent="0.3">
      <c r="A5844" s="1" t="s">
        <v>7</v>
      </c>
      <c r="B5844" s="1" t="s">
        <v>18483</v>
      </c>
      <c r="C5844" s="1" t="s">
        <v>18484</v>
      </c>
      <c r="D5844" s="1" t="s">
        <v>18485</v>
      </c>
      <c r="G5844" s="1" t="s">
        <v>18486</v>
      </c>
    </row>
    <row r="5845" spans="1:7" x14ac:dyDescent="0.3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 x14ac:dyDescent="0.3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G5846" s="1" t="s">
        <v>18493</v>
      </c>
    </row>
    <row r="5847" spans="1:7" x14ac:dyDescent="0.3">
      <c r="A5847" s="1" t="s">
        <v>30</v>
      </c>
      <c r="B5847" s="1" t="s">
        <v>18494</v>
      </c>
      <c r="C5847" s="1" t="s">
        <v>18495</v>
      </c>
      <c r="D5847" s="1" t="s">
        <v>18496</v>
      </c>
      <c r="G5847" s="1" t="s">
        <v>18497</v>
      </c>
    </row>
    <row r="5848" spans="1:7" x14ac:dyDescent="0.3">
      <c r="A5848" s="1" t="s">
        <v>21</v>
      </c>
      <c r="B5848" s="1" t="s">
        <v>18498</v>
      </c>
      <c r="C5848" s="1" t="s">
        <v>18499</v>
      </c>
      <c r="D5848" s="1" t="s">
        <v>18496</v>
      </c>
      <c r="F5848" s="1" t="s">
        <v>18500</v>
      </c>
      <c r="G5848" s="1" t="s">
        <v>18501</v>
      </c>
    </row>
    <row r="5849" spans="1:7" x14ac:dyDescent="0.3">
      <c r="A5849" s="1" t="s">
        <v>89</v>
      </c>
      <c r="B5849" s="1" t="s">
        <v>138</v>
      </c>
      <c r="D5849" s="1" t="s">
        <v>18496</v>
      </c>
    </row>
    <row r="5850" spans="1:7" x14ac:dyDescent="0.3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G5850" s="1" t="s">
        <v>18503</v>
      </c>
    </row>
    <row r="5851" spans="1:7" x14ac:dyDescent="0.3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 x14ac:dyDescent="0.3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</row>
    <row r="5853" spans="1:7" x14ac:dyDescent="0.3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 x14ac:dyDescent="0.3">
      <c r="A5854" s="1" t="s">
        <v>83</v>
      </c>
      <c r="B5854" s="1" t="s">
        <v>18512</v>
      </c>
      <c r="D5854" s="1" t="s">
        <v>18506</v>
      </c>
      <c r="E5854" s="1" t="s">
        <v>18506</v>
      </c>
    </row>
    <row r="5855" spans="1:7" x14ac:dyDescent="0.3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G5855" s="1" t="s">
        <v>9442</v>
      </c>
    </row>
    <row r="5856" spans="1:7" x14ac:dyDescent="0.3">
      <c r="A5856" s="1" t="s">
        <v>83</v>
      </c>
      <c r="B5856" s="1" t="s">
        <v>18516</v>
      </c>
      <c r="C5856" s="1" t="s">
        <v>18517</v>
      </c>
      <c r="D5856" s="1" t="s">
        <v>18506</v>
      </c>
      <c r="G5856" s="1" t="s">
        <v>18518</v>
      </c>
    </row>
    <row r="5857" spans="1:7" x14ac:dyDescent="0.3">
      <c r="A5857" s="1" t="s">
        <v>83</v>
      </c>
      <c r="B5857" s="1" t="s">
        <v>18519</v>
      </c>
      <c r="C5857" s="1" t="s">
        <v>18520</v>
      </c>
      <c r="D5857" s="1" t="s">
        <v>18506</v>
      </c>
      <c r="G5857" s="1" t="s">
        <v>18521</v>
      </c>
    </row>
    <row r="5858" spans="1:7" x14ac:dyDescent="0.3">
      <c r="A5858" s="1" t="s">
        <v>30</v>
      </c>
      <c r="B5858" s="1" t="s">
        <v>18522</v>
      </c>
      <c r="D5858" s="1" t="s">
        <v>18506</v>
      </c>
      <c r="G5858" s="1" t="s">
        <v>18523</v>
      </c>
    </row>
    <row r="5859" spans="1:7" x14ac:dyDescent="0.3">
      <c r="A5859" s="1" t="s">
        <v>30</v>
      </c>
      <c r="B5859" s="1" t="s">
        <v>18524</v>
      </c>
      <c r="C5859" s="1" t="s">
        <v>12471</v>
      </c>
      <c r="D5859" s="1" t="s">
        <v>18506</v>
      </c>
      <c r="F5859" s="1" t="s">
        <v>18525</v>
      </c>
      <c r="G5859" s="1" t="s">
        <v>18526</v>
      </c>
    </row>
    <row r="5860" spans="1:7" x14ac:dyDescent="0.3">
      <c r="A5860" s="1" t="s">
        <v>36</v>
      </c>
      <c r="B5860" s="1" t="s">
        <v>18527</v>
      </c>
      <c r="C5860" s="1" t="s">
        <v>18528</v>
      </c>
      <c r="D5860" s="1" t="s">
        <v>18529</v>
      </c>
      <c r="G5860" s="1" t="s">
        <v>18530</v>
      </c>
    </row>
    <row r="5861" spans="1:7" x14ac:dyDescent="0.3">
      <c r="A5861" s="1" t="s">
        <v>21</v>
      </c>
      <c r="B5861" s="1" t="s">
        <v>18531</v>
      </c>
      <c r="D5861" s="1" t="s">
        <v>18529</v>
      </c>
      <c r="E5861" s="1" t="s">
        <v>18532</v>
      </c>
      <c r="G5861" s="1" t="s">
        <v>18533</v>
      </c>
    </row>
    <row r="5862" spans="1:7" x14ac:dyDescent="0.3">
      <c r="A5862" s="1" t="s">
        <v>301</v>
      </c>
      <c r="B5862" s="1" t="s">
        <v>18534</v>
      </c>
      <c r="C5862" s="1" t="s">
        <v>18535</v>
      </c>
      <c r="D5862" s="1" t="s">
        <v>18529</v>
      </c>
      <c r="F5862" s="1" t="s">
        <v>18536</v>
      </c>
      <c r="G5862" s="1" t="s">
        <v>18537</v>
      </c>
    </row>
    <row r="5863" spans="1:7" x14ac:dyDescent="0.3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G5863" s="1" t="s">
        <v>18541</v>
      </c>
    </row>
    <row r="5864" spans="1:7" x14ac:dyDescent="0.3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 x14ac:dyDescent="0.3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G5865" s="1" t="s">
        <v>18549</v>
      </c>
    </row>
    <row r="5866" spans="1:7" x14ac:dyDescent="0.3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G5866" s="1" t="s">
        <v>18552</v>
      </c>
    </row>
    <row r="5867" spans="1:7" x14ac:dyDescent="0.3">
      <c r="A5867" s="1" t="s">
        <v>83</v>
      </c>
      <c r="B5867" s="1" t="s">
        <v>18553</v>
      </c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 x14ac:dyDescent="0.3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G5868" s="1" t="s">
        <v>18559</v>
      </c>
    </row>
    <row r="5869" spans="1:7" x14ac:dyDescent="0.3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 x14ac:dyDescent="0.3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 x14ac:dyDescent="0.3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 x14ac:dyDescent="0.3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G5872" s="1" t="s">
        <v>18574</v>
      </c>
    </row>
    <row r="5873" spans="1:7" x14ac:dyDescent="0.3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 x14ac:dyDescent="0.3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</row>
    <row r="5875" spans="1:7" x14ac:dyDescent="0.3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 x14ac:dyDescent="0.3">
      <c r="A5876" s="1" t="s">
        <v>83</v>
      </c>
      <c r="B5876" s="1" t="s">
        <v>18585</v>
      </c>
      <c r="D5876" s="1" t="s">
        <v>18529</v>
      </c>
      <c r="G5876" s="1" t="s">
        <v>18586</v>
      </c>
    </row>
    <row r="5877" spans="1:7" x14ac:dyDescent="0.3">
      <c r="A5877" s="1" t="s">
        <v>30</v>
      </c>
      <c r="B5877" s="1" t="s">
        <v>18587</v>
      </c>
      <c r="C5877" s="1" t="s">
        <v>18588</v>
      </c>
      <c r="D5877" s="1" t="s">
        <v>18529</v>
      </c>
      <c r="G5877" s="1" t="s">
        <v>18589</v>
      </c>
    </row>
    <row r="5878" spans="1:7" x14ac:dyDescent="0.3">
      <c r="A5878" s="1" t="s">
        <v>30</v>
      </c>
      <c r="B5878" s="1" t="s">
        <v>18590</v>
      </c>
      <c r="D5878" s="1" t="s">
        <v>18529</v>
      </c>
      <c r="G5878" s="1" t="s">
        <v>18591</v>
      </c>
    </row>
    <row r="5879" spans="1:7" x14ac:dyDescent="0.3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G5879" s="1" t="s">
        <v>18568</v>
      </c>
    </row>
    <row r="5880" spans="1:7" x14ac:dyDescent="0.3">
      <c r="A5880" s="1" t="s">
        <v>30</v>
      </c>
      <c r="B5880" s="1" t="s">
        <v>7349</v>
      </c>
      <c r="C5880" s="1" t="s">
        <v>18595</v>
      </c>
      <c r="D5880" s="1" t="s">
        <v>18596</v>
      </c>
      <c r="G5880" s="1" t="s">
        <v>18597</v>
      </c>
    </row>
    <row r="5881" spans="1:7" x14ac:dyDescent="0.3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 x14ac:dyDescent="0.3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G5882" s="1" t="s">
        <v>18604</v>
      </c>
    </row>
    <row r="5883" spans="1:7" x14ac:dyDescent="0.3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</row>
    <row r="5884" spans="1:7" x14ac:dyDescent="0.3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</row>
    <row r="5885" spans="1:7" x14ac:dyDescent="0.3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 x14ac:dyDescent="0.3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 x14ac:dyDescent="0.3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 x14ac:dyDescent="0.3">
      <c r="A5888" s="1" t="s">
        <v>36</v>
      </c>
      <c r="B5888" s="1" t="s">
        <v>18617</v>
      </c>
      <c r="C5888" s="1" t="s">
        <v>18618</v>
      </c>
      <c r="D5888" s="1" t="s">
        <v>18596</v>
      </c>
      <c r="G5888" s="1" t="s">
        <v>18619</v>
      </c>
    </row>
    <row r="5889" spans="1:7" x14ac:dyDescent="0.3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G5889" s="1" t="s">
        <v>18622</v>
      </c>
    </row>
    <row r="5890" spans="1:7" x14ac:dyDescent="0.3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 x14ac:dyDescent="0.3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 x14ac:dyDescent="0.3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 x14ac:dyDescent="0.3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 x14ac:dyDescent="0.3">
      <c r="A5894" s="1" t="s">
        <v>36</v>
      </c>
      <c r="B5894" s="1" t="s">
        <v>18642</v>
      </c>
      <c r="C5894" s="1" t="s">
        <v>18643</v>
      </c>
      <c r="D5894" s="1" t="s">
        <v>18625</v>
      </c>
      <c r="F5894" s="1" t="s">
        <v>18644</v>
      </c>
      <c r="G5894" s="1" t="s">
        <v>18645</v>
      </c>
    </row>
    <row r="5895" spans="1:7" x14ac:dyDescent="0.3">
      <c r="A5895" s="1" t="s">
        <v>89</v>
      </c>
      <c r="B5895" s="1" t="s">
        <v>138</v>
      </c>
      <c r="D5895" s="1" t="s">
        <v>18625</v>
      </c>
      <c r="E5895" s="1" t="s">
        <v>18646</v>
      </c>
    </row>
    <row r="5896" spans="1:7" x14ac:dyDescent="0.3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G5896" s="1" t="s">
        <v>18649</v>
      </c>
    </row>
    <row r="5897" spans="1:7" x14ac:dyDescent="0.3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 x14ac:dyDescent="0.3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 x14ac:dyDescent="0.3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 x14ac:dyDescent="0.3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G5900" s="1" t="s">
        <v>18665</v>
      </c>
    </row>
    <row r="5901" spans="1:7" x14ac:dyDescent="0.3">
      <c r="A5901" s="1" t="s">
        <v>30</v>
      </c>
      <c r="B5901" s="1" t="s">
        <v>18666</v>
      </c>
      <c r="C5901" s="1" t="s">
        <v>18667</v>
      </c>
      <c r="D5901" s="1" t="s">
        <v>18660</v>
      </c>
      <c r="F5901" s="1" t="s">
        <v>18668</v>
      </c>
      <c r="G5901" s="1" t="s">
        <v>18669</v>
      </c>
    </row>
    <row r="5902" spans="1:7" x14ac:dyDescent="0.3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G5902" s="1" t="s">
        <v>18673</v>
      </c>
    </row>
    <row r="5903" spans="1:7" x14ac:dyDescent="0.3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G5903" s="1" t="s">
        <v>18676</v>
      </c>
    </row>
    <row r="5904" spans="1:7" x14ac:dyDescent="0.3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 x14ac:dyDescent="0.3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 x14ac:dyDescent="0.3">
      <c r="A5906" s="1" t="s">
        <v>30</v>
      </c>
      <c r="B5906" s="1" t="s">
        <v>18686</v>
      </c>
      <c r="C5906" s="1" t="s">
        <v>18687</v>
      </c>
      <c r="D5906" s="1" t="s">
        <v>18660</v>
      </c>
      <c r="G5906" s="1" t="s">
        <v>18688</v>
      </c>
    </row>
    <row r="5907" spans="1:7" x14ac:dyDescent="0.3">
      <c r="A5907" s="1" t="s">
        <v>30</v>
      </c>
      <c r="B5907" s="1" t="s">
        <v>18689</v>
      </c>
      <c r="C5907" s="1" t="s">
        <v>18690</v>
      </c>
      <c r="D5907" s="1" t="s">
        <v>18660</v>
      </c>
      <c r="G5907" s="1" t="s">
        <v>18691</v>
      </c>
    </row>
    <row r="5908" spans="1:7" x14ac:dyDescent="0.3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G5908" s="1" t="s">
        <v>18694</v>
      </c>
    </row>
    <row r="5909" spans="1:7" x14ac:dyDescent="0.3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G5909" s="1" t="s">
        <v>18697</v>
      </c>
    </row>
    <row r="5910" spans="1:7" x14ac:dyDescent="0.3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 x14ac:dyDescent="0.3">
      <c r="A5911" s="1" t="s">
        <v>30</v>
      </c>
      <c r="B5911" s="1" t="s">
        <v>18703</v>
      </c>
      <c r="C5911" s="1" t="s">
        <v>18704</v>
      </c>
      <c r="D5911" s="1" t="s">
        <v>18700</v>
      </c>
      <c r="F5911" s="1" t="s">
        <v>18705</v>
      </c>
      <c r="G5911" s="1" t="s">
        <v>18706</v>
      </c>
    </row>
    <row r="5912" spans="1:7" x14ac:dyDescent="0.3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</row>
    <row r="5913" spans="1:7" x14ac:dyDescent="0.3">
      <c r="A5913" s="1" t="s">
        <v>36</v>
      </c>
      <c r="B5913" s="1" t="s">
        <v>18710</v>
      </c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 x14ac:dyDescent="0.3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 x14ac:dyDescent="0.3">
      <c r="A5915" s="1" t="s">
        <v>36</v>
      </c>
      <c r="B5915" s="1" t="s">
        <v>18718</v>
      </c>
      <c r="D5915" s="1" t="s">
        <v>18709</v>
      </c>
      <c r="F5915" s="1" t="s">
        <v>18719</v>
      </c>
      <c r="G5915" s="1" t="s">
        <v>18720</v>
      </c>
    </row>
    <row r="5916" spans="1:7" x14ac:dyDescent="0.3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 x14ac:dyDescent="0.3">
      <c r="A5917" s="1" t="s">
        <v>187</v>
      </c>
      <c r="B5917" s="1" t="s">
        <v>18725</v>
      </c>
      <c r="C5917" s="1" t="s">
        <v>18726</v>
      </c>
      <c r="D5917" s="1" t="s">
        <v>18709</v>
      </c>
      <c r="G5917" s="1" t="s">
        <v>18727</v>
      </c>
    </row>
    <row r="5918" spans="1:7" x14ac:dyDescent="0.3">
      <c r="A5918" s="1" t="s">
        <v>36</v>
      </c>
      <c r="B5918" s="1" t="s">
        <v>18728</v>
      </c>
      <c r="C5918" s="1" t="s">
        <v>18729</v>
      </c>
      <c r="D5918" s="1" t="s">
        <v>18709</v>
      </c>
      <c r="F5918" s="1" t="s">
        <v>18730</v>
      </c>
      <c r="G5918" s="1" t="s">
        <v>18731</v>
      </c>
    </row>
    <row r="5919" spans="1:7" x14ac:dyDescent="0.3">
      <c r="A5919" s="1" t="s">
        <v>30</v>
      </c>
      <c r="B5919" s="1" t="s">
        <v>18732</v>
      </c>
      <c r="C5919" s="1" t="s">
        <v>18733</v>
      </c>
      <c r="D5919" s="1" t="s">
        <v>18709</v>
      </c>
      <c r="G5919" s="1" t="s">
        <v>18734</v>
      </c>
    </row>
    <row r="5920" spans="1:7" x14ac:dyDescent="0.3">
      <c r="A5920" s="1" t="s">
        <v>30</v>
      </c>
      <c r="B5920" s="1" t="s">
        <v>18735</v>
      </c>
      <c r="C5920" s="1" t="s">
        <v>18736</v>
      </c>
      <c r="D5920" s="1" t="s">
        <v>18709</v>
      </c>
      <c r="G5920" s="1" t="s">
        <v>18737</v>
      </c>
    </row>
    <row r="5921" spans="1:7" x14ac:dyDescent="0.3">
      <c r="A5921" s="1" t="s">
        <v>30</v>
      </c>
      <c r="B5921" s="1" t="s">
        <v>18738</v>
      </c>
      <c r="C5921" s="1" t="s">
        <v>18739</v>
      </c>
      <c r="D5921" s="1" t="s">
        <v>18709</v>
      </c>
    </row>
    <row r="5922" spans="1:7" x14ac:dyDescent="0.3">
      <c r="A5922" s="1" t="s">
        <v>36</v>
      </c>
      <c r="B5922" s="1" t="s">
        <v>18740</v>
      </c>
      <c r="D5922" s="1" t="s">
        <v>18709</v>
      </c>
      <c r="E5922" s="1" t="s">
        <v>18741</v>
      </c>
      <c r="G5922" s="1" t="s">
        <v>18742</v>
      </c>
    </row>
    <row r="5923" spans="1:7" x14ac:dyDescent="0.3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 x14ac:dyDescent="0.3">
      <c r="A5924" s="1" t="s">
        <v>30</v>
      </c>
      <c r="B5924" s="1" t="s">
        <v>18748</v>
      </c>
      <c r="C5924" s="1" t="s">
        <v>18749</v>
      </c>
      <c r="D5924" s="1" t="s">
        <v>18709</v>
      </c>
    </row>
    <row r="5925" spans="1:7" x14ac:dyDescent="0.3">
      <c r="A5925" s="1" t="s">
        <v>13</v>
      </c>
      <c r="B5925" s="1" t="s">
        <v>18750</v>
      </c>
      <c r="C5925" s="1" t="s">
        <v>18751</v>
      </c>
      <c r="D5925" s="1" t="s">
        <v>18709</v>
      </c>
      <c r="F5925" s="1" t="s">
        <v>18752</v>
      </c>
      <c r="G5925" s="1" t="s">
        <v>18753</v>
      </c>
    </row>
    <row r="5926" spans="1:7" x14ac:dyDescent="0.3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 x14ac:dyDescent="0.3">
      <c r="A5927" s="1" t="s">
        <v>83</v>
      </c>
      <c r="B5927" s="1" t="s">
        <v>18758</v>
      </c>
      <c r="C5927" s="1" t="s">
        <v>18759</v>
      </c>
      <c r="D5927" s="1" t="s">
        <v>18709</v>
      </c>
      <c r="F5927" s="1" t="s">
        <v>18760</v>
      </c>
      <c r="G5927" s="1" t="s">
        <v>18761</v>
      </c>
    </row>
    <row r="5928" spans="1:7" x14ac:dyDescent="0.3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 x14ac:dyDescent="0.3">
      <c r="A5929" s="1" t="s">
        <v>83</v>
      </c>
      <c r="B5929" s="1" t="s">
        <v>18766</v>
      </c>
      <c r="C5929" s="1" t="s">
        <v>18767</v>
      </c>
      <c r="D5929" s="1" t="s">
        <v>18764</v>
      </c>
      <c r="G5929" s="1" t="s">
        <v>18768</v>
      </c>
    </row>
    <row r="5930" spans="1:7" x14ac:dyDescent="0.3">
      <c r="A5930" s="1" t="s">
        <v>36</v>
      </c>
      <c r="B5930" s="1" t="s">
        <v>18769</v>
      </c>
      <c r="C5930" s="1" t="s">
        <v>18770</v>
      </c>
      <c r="D5930" s="1" t="s">
        <v>18764</v>
      </c>
      <c r="F5930" s="1" t="s">
        <v>18771</v>
      </c>
      <c r="G5930" s="1" t="s">
        <v>18772</v>
      </c>
    </row>
    <row r="5931" spans="1:7" x14ac:dyDescent="0.3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G5931" s="1" t="s">
        <v>18775</v>
      </c>
    </row>
    <row r="5932" spans="1:7" x14ac:dyDescent="0.3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 x14ac:dyDescent="0.3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 x14ac:dyDescent="0.3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 x14ac:dyDescent="0.3">
      <c r="A5935" s="1" t="s">
        <v>30</v>
      </c>
      <c r="B5935" s="1" t="s">
        <v>18788</v>
      </c>
      <c r="C5935" s="1" t="s">
        <v>18789</v>
      </c>
      <c r="D5935" s="1" t="s">
        <v>18790</v>
      </c>
      <c r="F5935" s="1" t="s">
        <v>18791</v>
      </c>
      <c r="G5935" s="1" t="s">
        <v>18792</v>
      </c>
    </row>
    <row r="5936" spans="1:7" x14ac:dyDescent="0.3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 x14ac:dyDescent="0.3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 x14ac:dyDescent="0.3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 x14ac:dyDescent="0.3">
      <c r="A5939" s="1" t="s">
        <v>30</v>
      </c>
      <c r="B5939" s="1" t="s">
        <v>18805</v>
      </c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 x14ac:dyDescent="0.3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</row>
    <row r="5941" spans="1:7" x14ac:dyDescent="0.3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</row>
    <row r="5942" spans="1:7" x14ac:dyDescent="0.3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 x14ac:dyDescent="0.3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 x14ac:dyDescent="0.3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 x14ac:dyDescent="0.3">
      <c r="A5945" s="1" t="s">
        <v>30</v>
      </c>
      <c r="B5945" s="1" t="s">
        <v>18825</v>
      </c>
      <c r="C5945" s="1" t="s">
        <v>18826</v>
      </c>
      <c r="D5945" s="1" t="s">
        <v>18790</v>
      </c>
      <c r="G5945" s="1" t="s">
        <v>18827</v>
      </c>
    </row>
    <row r="5946" spans="1:7" x14ac:dyDescent="0.3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G5946" s="1" t="s">
        <v>18830</v>
      </c>
    </row>
    <row r="5947" spans="1:7" x14ac:dyDescent="0.3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G5947" s="1" t="s">
        <v>18833</v>
      </c>
    </row>
    <row r="5948" spans="1:7" x14ac:dyDescent="0.3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</row>
    <row r="5949" spans="1:7" x14ac:dyDescent="0.3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</row>
    <row r="5950" spans="1:7" x14ac:dyDescent="0.3">
      <c r="A5950" s="1" t="s">
        <v>89</v>
      </c>
      <c r="B5950" s="1" t="s">
        <v>18838</v>
      </c>
      <c r="D5950" s="1" t="s">
        <v>18836</v>
      </c>
    </row>
    <row r="5951" spans="1:7" x14ac:dyDescent="0.3">
      <c r="A5951" s="1" t="s">
        <v>36</v>
      </c>
      <c r="B5951" s="1" t="s">
        <v>5798</v>
      </c>
      <c r="C5951" s="1" t="s">
        <v>18839</v>
      </c>
      <c r="D5951" s="1" t="s">
        <v>18836</v>
      </c>
      <c r="F5951" s="1" t="s">
        <v>18840</v>
      </c>
      <c r="G5951" s="1" t="s">
        <v>18841</v>
      </c>
    </row>
    <row r="5952" spans="1:7" x14ac:dyDescent="0.3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G5952" s="1" t="s">
        <v>18843</v>
      </c>
    </row>
    <row r="5953" spans="1:7" x14ac:dyDescent="0.3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G5953" s="1" t="s">
        <v>18846</v>
      </c>
    </row>
    <row r="5954" spans="1:7" x14ac:dyDescent="0.3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 x14ac:dyDescent="0.3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 x14ac:dyDescent="0.3">
      <c r="A5956" s="1" t="s">
        <v>30</v>
      </c>
      <c r="B5956" s="1" t="s">
        <v>18856</v>
      </c>
      <c r="C5956" s="1" t="s">
        <v>18857</v>
      </c>
      <c r="D5956" s="1" t="s">
        <v>18849</v>
      </c>
      <c r="F5956" s="1" t="s">
        <v>18858</v>
      </c>
      <c r="G5956" s="1" t="s">
        <v>18859</v>
      </c>
    </row>
    <row r="5957" spans="1:7" x14ac:dyDescent="0.3">
      <c r="A5957" s="1" t="s">
        <v>30</v>
      </c>
      <c r="B5957" s="1" t="s">
        <v>18860</v>
      </c>
      <c r="C5957" s="1" t="s">
        <v>18861</v>
      </c>
      <c r="D5957" s="1" t="s">
        <v>18849</v>
      </c>
      <c r="F5957" s="1" t="s">
        <v>18862</v>
      </c>
      <c r="G5957" s="1" t="s">
        <v>18863</v>
      </c>
    </row>
    <row r="5958" spans="1:7" x14ac:dyDescent="0.3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G5958" s="1" t="s">
        <v>18866</v>
      </c>
    </row>
    <row r="5959" spans="1:7" x14ac:dyDescent="0.3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G5959" s="1" t="s">
        <v>18870</v>
      </c>
    </row>
    <row r="5960" spans="1:7" x14ac:dyDescent="0.3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 x14ac:dyDescent="0.3">
      <c r="A5961" s="1" t="s">
        <v>89</v>
      </c>
      <c r="B5961" s="1" t="s">
        <v>138</v>
      </c>
      <c r="D5961" s="1" t="s">
        <v>18874</v>
      </c>
    </row>
    <row r="5962" spans="1:7" x14ac:dyDescent="0.3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 x14ac:dyDescent="0.3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G5963" s="1" t="s">
        <v>17780</v>
      </c>
    </row>
    <row r="5964" spans="1:7" x14ac:dyDescent="0.3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</row>
    <row r="5965" spans="1:7" x14ac:dyDescent="0.3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</row>
    <row r="5966" spans="1:7" x14ac:dyDescent="0.3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G5966" s="1" t="s">
        <v>18888</v>
      </c>
    </row>
    <row r="5967" spans="1:7" x14ac:dyDescent="0.3">
      <c r="A5967" s="1" t="s">
        <v>30</v>
      </c>
      <c r="B5967" s="1" t="s">
        <v>18889</v>
      </c>
      <c r="C5967" s="1" t="s">
        <v>18890</v>
      </c>
      <c r="D5967" s="1" t="s">
        <v>18883</v>
      </c>
      <c r="G5967" s="1" t="s">
        <v>18891</v>
      </c>
    </row>
    <row r="5968" spans="1:7" x14ac:dyDescent="0.3">
      <c r="A5968" s="1" t="s">
        <v>30</v>
      </c>
      <c r="B5968" s="1" t="s">
        <v>18892</v>
      </c>
      <c r="C5968" s="1" t="s">
        <v>18893</v>
      </c>
      <c r="D5968" s="1" t="s">
        <v>18883</v>
      </c>
      <c r="G5968" s="1" t="s">
        <v>18894</v>
      </c>
    </row>
    <row r="5969" spans="1:7" x14ac:dyDescent="0.3">
      <c r="A5969" s="1" t="s">
        <v>30</v>
      </c>
      <c r="B5969" s="1" t="s">
        <v>18895</v>
      </c>
      <c r="C5969" s="1" t="s">
        <v>18896</v>
      </c>
      <c r="D5969" s="1" t="s">
        <v>18883</v>
      </c>
      <c r="F5969" s="1" t="s">
        <v>18897</v>
      </c>
      <c r="G5969" s="1" t="s">
        <v>18898</v>
      </c>
    </row>
    <row r="5970" spans="1:7" x14ac:dyDescent="0.3">
      <c r="A5970" s="1" t="s">
        <v>30</v>
      </c>
      <c r="B5970" s="1" t="s">
        <v>18899</v>
      </c>
      <c r="C5970" s="1" t="s">
        <v>18900</v>
      </c>
      <c r="D5970" s="1" t="s">
        <v>18883</v>
      </c>
      <c r="G5970" s="1" t="s">
        <v>18901</v>
      </c>
    </row>
    <row r="5971" spans="1:7" x14ac:dyDescent="0.3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 x14ac:dyDescent="0.3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G5972" s="1" t="s">
        <v>18910</v>
      </c>
    </row>
    <row r="5973" spans="1:7" x14ac:dyDescent="0.3">
      <c r="A5973" s="1" t="s">
        <v>89</v>
      </c>
      <c r="B5973" s="1" t="s">
        <v>138</v>
      </c>
      <c r="D5973" s="1" t="s">
        <v>18904</v>
      </c>
    </row>
    <row r="5974" spans="1:7" x14ac:dyDescent="0.3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 x14ac:dyDescent="0.3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 x14ac:dyDescent="0.3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 x14ac:dyDescent="0.3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 x14ac:dyDescent="0.3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 x14ac:dyDescent="0.3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G5979" s="1" t="s">
        <v>18930</v>
      </c>
    </row>
    <row r="5980" spans="1:7" x14ac:dyDescent="0.3">
      <c r="A5980" s="1" t="s">
        <v>30</v>
      </c>
      <c r="B5980" s="1" t="s">
        <v>18934</v>
      </c>
      <c r="C5980" s="1" t="s">
        <v>18935</v>
      </c>
      <c r="D5980" s="1" t="s">
        <v>18916</v>
      </c>
      <c r="G5980" s="1" t="s">
        <v>18936</v>
      </c>
    </row>
    <row r="5981" spans="1:7" x14ac:dyDescent="0.3">
      <c r="A5981" s="1" t="s">
        <v>30</v>
      </c>
      <c r="B5981" s="1" t="s">
        <v>18937</v>
      </c>
      <c r="C5981" s="1" t="s">
        <v>18938</v>
      </c>
      <c r="D5981" s="1" t="s">
        <v>18916</v>
      </c>
      <c r="G5981" s="1" t="s">
        <v>18939</v>
      </c>
    </row>
    <row r="5982" spans="1:7" x14ac:dyDescent="0.3">
      <c r="A5982" s="1" t="s">
        <v>36</v>
      </c>
      <c r="B5982" s="1" t="s">
        <v>18940</v>
      </c>
      <c r="C5982" s="1" t="s">
        <v>18941</v>
      </c>
      <c r="D5982" s="1" t="s">
        <v>18916</v>
      </c>
      <c r="G5982" s="1" t="s">
        <v>18942</v>
      </c>
    </row>
    <row r="5983" spans="1:7" x14ac:dyDescent="0.3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 x14ac:dyDescent="0.3">
      <c r="A5984" s="1" t="s">
        <v>30</v>
      </c>
      <c r="B5984" s="1" t="s">
        <v>18947</v>
      </c>
      <c r="C5984" s="1" t="s">
        <v>18948</v>
      </c>
      <c r="D5984" s="1" t="s">
        <v>18916</v>
      </c>
      <c r="G5984" s="1" t="s">
        <v>18949</v>
      </c>
    </row>
    <row r="5985" spans="1:7" x14ac:dyDescent="0.3">
      <c r="A5985" s="1" t="s">
        <v>30</v>
      </c>
      <c r="B5985" s="1" t="s">
        <v>18950</v>
      </c>
      <c r="D5985" s="1" t="s">
        <v>18951</v>
      </c>
      <c r="F5985" s="1" t="s">
        <v>18952</v>
      </c>
      <c r="G5985" s="1" t="s">
        <v>18953</v>
      </c>
    </row>
    <row r="5986" spans="1:7" x14ac:dyDescent="0.3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 x14ac:dyDescent="0.3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G5987" s="1" t="s">
        <v>18961</v>
      </c>
    </row>
    <row r="5988" spans="1:7" x14ac:dyDescent="0.3">
      <c r="A5988" s="1" t="s">
        <v>680</v>
      </c>
      <c r="B5988" s="1" t="s">
        <v>18962</v>
      </c>
      <c r="D5988" s="1" t="s">
        <v>18951</v>
      </c>
      <c r="E5988" s="1" t="s">
        <v>18951</v>
      </c>
      <c r="F5988" s="1" t="s">
        <v>18963</v>
      </c>
    </row>
    <row r="5989" spans="1:7" x14ac:dyDescent="0.3">
      <c r="A5989" s="1" t="s">
        <v>680</v>
      </c>
      <c r="B5989" s="1" t="s">
        <v>18964</v>
      </c>
      <c r="D5989" s="1" t="s">
        <v>18951</v>
      </c>
    </row>
    <row r="5990" spans="1:7" x14ac:dyDescent="0.3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</row>
    <row r="5991" spans="1:7" x14ac:dyDescent="0.3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 x14ac:dyDescent="0.3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 x14ac:dyDescent="0.3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 x14ac:dyDescent="0.3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 x14ac:dyDescent="0.3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 x14ac:dyDescent="0.3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 x14ac:dyDescent="0.3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 x14ac:dyDescent="0.3">
      <c r="A5998" s="1" t="s">
        <v>36</v>
      </c>
      <c r="B5998" s="1" t="s">
        <v>18992</v>
      </c>
      <c r="D5998" s="1" t="s">
        <v>18978</v>
      </c>
      <c r="F5998" s="1" t="s">
        <v>18993</v>
      </c>
      <c r="G5998" s="1" t="s">
        <v>18994</v>
      </c>
    </row>
    <row r="5999" spans="1:7" x14ac:dyDescent="0.3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G5999" s="1" t="s">
        <v>18998</v>
      </c>
    </row>
    <row r="6000" spans="1:7" x14ac:dyDescent="0.3">
      <c r="A6000" s="1" t="s">
        <v>30</v>
      </c>
      <c r="B6000" s="1" t="s">
        <v>18999</v>
      </c>
      <c r="C6000" s="1" t="s">
        <v>19000</v>
      </c>
      <c r="D6000" s="1" t="s">
        <v>18978</v>
      </c>
      <c r="F6000" s="1" t="s">
        <v>19001</v>
      </c>
      <c r="G6000" s="1" t="s">
        <v>19002</v>
      </c>
    </row>
    <row r="6001" spans="1:7" x14ac:dyDescent="0.3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 x14ac:dyDescent="0.3">
      <c r="A6002" s="1" t="s">
        <v>30</v>
      </c>
      <c r="B6002" s="1" t="s">
        <v>19007</v>
      </c>
      <c r="C6002" s="1" t="s">
        <v>19008</v>
      </c>
      <c r="D6002" s="1" t="s">
        <v>18978</v>
      </c>
      <c r="G6002" s="1" t="s">
        <v>19009</v>
      </c>
    </row>
    <row r="6003" spans="1:7" x14ac:dyDescent="0.3">
      <c r="A6003" s="1" t="s">
        <v>13</v>
      </c>
      <c r="B6003" s="1" t="s">
        <v>19010</v>
      </c>
      <c r="D6003" s="1" t="s">
        <v>18978</v>
      </c>
      <c r="G6003" s="1" t="s">
        <v>19011</v>
      </c>
    </row>
    <row r="6004" spans="1:7" x14ac:dyDescent="0.3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G6004" s="1" t="s">
        <v>19014</v>
      </c>
    </row>
    <row r="6005" spans="1:7" x14ac:dyDescent="0.3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 x14ac:dyDescent="0.3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 x14ac:dyDescent="0.3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 x14ac:dyDescent="0.3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</row>
    <row r="6009" spans="1:7" x14ac:dyDescent="0.3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</row>
    <row r="6010" spans="1:7" x14ac:dyDescent="0.3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 x14ac:dyDescent="0.3">
      <c r="A6011" s="1" t="s">
        <v>30</v>
      </c>
      <c r="B6011" s="1" t="s">
        <v>19030</v>
      </c>
      <c r="C6011" s="1" t="s">
        <v>19031</v>
      </c>
      <c r="D6011" s="1" t="s">
        <v>18978</v>
      </c>
      <c r="G6011" s="1" t="s">
        <v>19032</v>
      </c>
    </row>
    <row r="6012" spans="1:7" x14ac:dyDescent="0.3">
      <c r="A6012" s="1" t="s">
        <v>36</v>
      </c>
      <c r="B6012" s="1" t="s">
        <v>19033</v>
      </c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 x14ac:dyDescent="0.3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 x14ac:dyDescent="0.3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G6014" s="1" t="s">
        <v>19042</v>
      </c>
    </row>
    <row r="6015" spans="1:7" x14ac:dyDescent="0.3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 x14ac:dyDescent="0.3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 x14ac:dyDescent="0.3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G6017" s="1" t="s">
        <v>19051</v>
      </c>
    </row>
    <row r="6018" spans="1:7" x14ac:dyDescent="0.3">
      <c r="A6018" s="1" t="s">
        <v>680</v>
      </c>
      <c r="B6018" s="1" t="s">
        <v>19052</v>
      </c>
      <c r="D6018" s="1" t="s">
        <v>18089</v>
      </c>
      <c r="E6018" s="1" t="s">
        <v>18089</v>
      </c>
      <c r="G6018" s="1" t="s">
        <v>19053</v>
      </c>
    </row>
    <row r="6019" spans="1:7" x14ac:dyDescent="0.3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</row>
    <row r="6020" spans="1:7" x14ac:dyDescent="0.3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</row>
    <row r="6021" spans="1:7" x14ac:dyDescent="0.3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</row>
    <row r="6022" spans="1:7" x14ac:dyDescent="0.3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</row>
    <row r="6023" spans="1:7" x14ac:dyDescent="0.3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</row>
    <row r="6024" spans="1:7" x14ac:dyDescent="0.3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</row>
    <row r="6025" spans="1:7" x14ac:dyDescent="0.3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</row>
    <row r="6026" spans="1:7" x14ac:dyDescent="0.3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</row>
    <row r="6027" spans="1:7" x14ac:dyDescent="0.3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</row>
    <row r="6028" spans="1:7" x14ac:dyDescent="0.3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</row>
    <row r="6029" spans="1:7" x14ac:dyDescent="0.3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</row>
    <row r="6030" spans="1:7" x14ac:dyDescent="0.3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</row>
    <row r="6031" spans="1:7" x14ac:dyDescent="0.3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</row>
    <row r="6032" spans="1:7" x14ac:dyDescent="0.3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</row>
    <row r="6033" spans="1:7" x14ac:dyDescent="0.3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 x14ac:dyDescent="0.3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</row>
    <row r="6035" spans="1:7" x14ac:dyDescent="0.3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</row>
    <row r="6036" spans="1:7" x14ac:dyDescent="0.3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</row>
    <row r="6037" spans="1:7" x14ac:dyDescent="0.3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</row>
    <row r="6038" spans="1:7" x14ac:dyDescent="0.3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</row>
    <row r="6039" spans="1:7" x14ac:dyDescent="0.3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</row>
    <row r="6040" spans="1:7" x14ac:dyDescent="0.3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</row>
    <row r="6041" spans="1:7" x14ac:dyDescent="0.3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</row>
    <row r="6042" spans="1:7" x14ac:dyDescent="0.3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 x14ac:dyDescent="0.3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</row>
    <row r="6044" spans="1:7" x14ac:dyDescent="0.3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</row>
    <row r="6045" spans="1:7" x14ac:dyDescent="0.3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</row>
    <row r="6046" spans="1:7" x14ac:dyDescent="0.3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</row>
    <row r="6047" spans="1:7" x14ac:dyDescent="0.3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</row>
    <row r="6048" spans="1:7" x14ac:dyDescent="0.3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6" x14ac:dyDescent="0.3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</row>
    <row r="6050" spans="1:6" x14ac:dyDescent="0.3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</row>
    <row r="6051" spans="1:6" x14ac:dyDescent="0.3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</row>
    <row r="6052" spans="1:6" x14ac:dyDescent="0.3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</row>
    <row r="6053" spans="1:6" x14ac:dyDescent="0.3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</row>
    <row r="6054" spans="1:6" x14ac:dyDescent="0.3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</row>
    <row r="6055" spans="1:6" x14ac:dyDescent="0.3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</row>
    <row r="6056" spans="1:6" x14ac:dyDescent="0.3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</row>
    <row r="6057" spans="1:6" x14ac:dyDescent="0.3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</row>
    <row r="6058" spans="1:6" x14ac:dyDescent="0.3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</row>
    <row r="6059" spans="1:6" x14ac:dyDescent="0.3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</row>
    <row r="6060" spans="1:6" x14ac:dyDescent="0.3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</row>
    <row r="6061" spans="1:6" x14ac:dyDescent="0.3">
      <c r="A6061" s="1" t="s">
        <v>680</v>
      </c>
      <c r="B6061" s="1" t="s">
        <v>17126</v>
      </c>
      <c r="D6061" s="1" t="s">
        <v>18089</v>
      </c>
      <c r="E6061" s="1" t="s">
        <v>18089</v>
      </c>
      <c r="F6061" s="1" t="s">
        <v>19127</v>
      </c>
    </row>
    <row r="6062" spans="1:6" x14ac:dyDescent="0.3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</row>
    <row r="6063" spans="1:6" x14ac:dyDescent="0.3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</row>
    <row r="6064" spans="1:6" x14ac:dyDescent="0.3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</row>
    <row r="6065" spans="1:7" x14ac:dyDescent="0.3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</row>
    <row r="6066" spans="1:7" x14ac:dyDescent="0.3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</row>
    <row r="6067" spans="1:7" x14ac:dyDescent="0.3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</row>
    <row r="6068" spans="1:7" x14ac:dyDescent="0.3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</row>
    <row r="6069" spans="1:7" x14ac:dyDescent="0.3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G6069" s="1" t="s">
        <v>19140</v>
      </c>
    </row>
    <row r="6070" spans="1:7" x14ac:dyDescent="0.3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</row>
    <row r="6071" spans="1:7" x14ac:dyDescent="0.3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</row>
    <row r="6072" spans="1:7" x14ac:dyDescent="0.3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</row>
    <row r="6073" spans="1:7" x14ac:dyDescent="0.3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</row>
    <row r="6074" spans="1:7" x14ac:dyDescent="0.3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</row>
    <row r="6075" spans="1:7" x14ac:dyDescent="0.3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</row>
    <row r="6076" spans="1:7" x14ac:dyDescent="0.3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 x14ac:dyDescent="0.3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 x14ac:dyDescent="0.3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 x14ac:dyDescent="0.3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 x14ac:dyDescent="0.3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 x14ac:dyDescent="0.3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 x14ac:dyDescent="0.3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 x14ac:dyDescent="0.3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 x14ac:dyDescent="0.3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 x14ac:dyDescent="0.3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 x14ac:dyDescent="0.3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 x14ac:dyDescent="0.3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</row>
    <row r="6088" spans="1:7" x14ac:dyDescent="0.3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 x14ac:dyDescent="0.3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</row>
    <row r="6090" spans="1:7" x14ac:dyDescent="0.3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G6090" s="1" t="s">
        <v>19193</v>
      </c>
    </row>
    <row r="6091" spans="1:7" x14ac:dyDescent="0.3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G6091" s="1" t="s">
        <v>19196</v>
      </c>
    </row>
    <row r="6092" spans="1:7" x14ac:dyDescent="0.3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 x14ac:dyDescent="0.3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 x14ac:dyDescent="0.3">
      <c r="A6094" s="1" t="s">
        <v>30</v>
      </c>
      <c r="B6094" s="1" t="s">
        <v>19204</v>
      </c>
      <c r="C6094" s="1" t="s">
        <v>19205</v>
      </c>
      <c r="D6094" s="1" t="s">
        <v>18089</v>
      </c>
      <c r="G6094" s="1" t="s">
        <v>19206</v>
      </c>
    </row>
    <row r="6095" spans="1:7" x14ac:dyDescent="0.3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G6095" s="1" t="s">
        <v>19209</v>
      </c>
    </row>
    <row r="6096" spans="1:7" x14ac:dyDescent="0.3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 x14ac:dyDescent="0.3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 x14ac:dyDescent="0.3">
      <c r="A6098" s="1" t="s">
        <v>680</v>
      </c>
      <c r="B6098" s="1" t="s">
        <v>19218</v>
      </c>
      <c r="C6098" s="1" t="s">
        <v>19219</v>
      </c>
      <c r="D6098" s="1" t="s">
        <v>18089</v>
      </c>
      <c r="F6098" s="1" t="s">
        <v>19220</v>
      </c>
      <c r="G6098" s="1" t="s">
        <v>19221</v>
      </c>
    </row>
    <row r="6099" spans="1:7" x14ac:dyDescent="0.3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</row>
    <row r="6100" spans="1:7" x14ac:dyDescent="0.3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</row>
    <row r="6101" spans="1:7" x14ac:dyDescent="0.3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 x14ac:dyDescent="0.3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 x14ac:dyDescent="0.3">
      <c r="A6103" s="1" t="s">
        <v>83</v>
      </c>
      <c r="B6103" s="1" t="s">
        <v>19233</v>
      </c>
      <c r="C6103" s="1" t="s">
        <v>19234</v>
      </c>
      <c r="D6103" s="1" t="s">
        <v>18089</v>
      </c>
      <c r="G6103" s="1" t="s">
        <v>19213</v>
      </c>
    </row>
    <row r="6104" spans="1:7" x14ac:dyDescent="0.3">
      <c r="A6104" s="1" t="s">
        <v>30</v>
      </c>
      <c r="B6104" s="1" t="s">
        <v>19235</v>
      </c>
      <c r="C6104" s="1" t="s">
        <v>19236</v>
      </c>
      <c r="D6104" s="1" t="s">
        <v>18089</v>
      </c>
      <c r="G6104" s="1" t="s">
        <v>19237</v>
      </c>
    </row>
    <row r="6105" spans="1:7" x14ac:dyDescent="0.3">
      <c r="A6105" s="1" t="s">
        <v>30</v>
      </c>
      <c r="B6105" s="1" t="s">
        <v>19238</v>
      </c>
      <c r="C6105" s="1" t="s">
        <v>19239</v>
      </c>
      <c r="D6105" s="1" t="s">
        <v>18089</v>
      </c>
      <c r="F6105" s="1" t="s">
        <v>19240</v>
      </c>
      <c r="G6105" s="1" t="s">
        <v>19241</v>
      </c>
    </row>
    <row r="6106" spans="1:7" x14ac:dyDescent="0.3">
      <c r="A6106" s="1" t="s">
        <v>30</v>
      </c>
      <c r="B6106" s="1" t="s">
        <v>19242</v>
      </c>
      <c r="C6106" s="1" t="s">
        <v>19243</v>
      </c>
      <c r="D6106" s="1" t="s">
        <v>18089</v>
      </c>
      <c r="G6106" s="1" t="s">
        <v>19244</v>
      </c>
    </row>
    <row r="6107" spans="1:7" x14ac:dyDescent="0.3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 x14ac:dyDescent="0.3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G6108" s="1" t="s">
        <v>19252</v>
      </c>
    </row>
    <row r="6109" spans="1:7" x14ac:dyDescent="0.3">
      <c r="A6109" s="1" t="s">
        <v>680</v>
      </c>
      <c r="B6109" s="1" t="s">
        <v>19253</v>
      </c>
      <c r="D6109" s="1" t="s">
        <v>18089</v>
      </c>
      <c r="F6109" s="1" t="s">
        <v>19254</v>
      </c>
    </row>
    <row r="6110" spans="1:7" x14ac:dyDescent="0.3">
      <c r="A6110" s="1" t="s">
        <v>30</v>
      </c>
      <c r="B6110" s="1" t="s">
        <v>19255</v>
      </c>
      <c r="C6110" s="1" t="s">
        <v>19256</v>
      </c>
      <c r="D6110" s="1" t="s">
        <v>18089</v>
      </c>
      <c r="F6110" s="1" t="s">
        <v>19257</v>
      </c>
      <c r="G6110" s="1" t="s">
        <v>19258</v>
      </c>
    </row>
    <row r="6111" spans="1:7" x14ac:dyDescent="0.3">
      <c r="A6111" s="1" t="s">
        <v>30</v>
      </c>
      <c r="B6111" s="1" t="s">
        <v>19259</v>
      </c>
      <c r="C6111" s="1" t="s">
        <v>19260</v>
      </c>
      <c r="D6111" s="1" t="s">
        <v>18089</v>
      </c>
      <c r="F6111" s="1" t="s">
        <v>19047</v>
      </c>
      <c r="G6111" s="1" t="s">
        <v>19048</v>
      </c>
    </row>
    <row r="6112" spans="1:7" x14ac:dyDescent="0.3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 x14ac:dyDescent="0.3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G6113" s="1" t="s">
        <v>19268</v>
      </c>
    </row>
    <row r="6114" spans="1:7" x14ac:dyDescent="0.3">
      <c r="A6114" s="1" t="s">
        <v>30</v>
      </c>
      <c r="B6114" s="1" t="s">
        <v>19269</v>
      </c>
      <c r="C6114" s="1" t="s">
        <v>19270</v>
      </c>
      <c r="D6114" s="1" t="s">
        <v>18089</v>
      </c>
      <c r="G6114" s="1" t="s">
        <v>19271</v>
      </c>
    </row>
    <row r="6115" spans="1:7" x14ac:dyDescent="0.3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G6115" s="1" t="s">
        <v>19274</v>
      </c>
    </row>
    <row r="6116" spans="1:7" x14ac:dyDescent="0.3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G6116" s="1" t="s">
        <v>19277</v>
      </c>
    </row>
    <row r="6117" spans="1:7" x14ac:dyDescent="0.3">
      <c r="A6117" s="1" t="s">
        <v>30</v>
      </c>
      <c r="B6117" s="1" t="s">
        <v>19278</v>
      </c>
      <c r="C6117" s="1" t="s">
        <v>19279</v>
      </c>
      <c r="D6117" s="1" t="s">
        <v>18089</v>
      </c>
      <c r="F6117" s="1" t="s">
        <v>19280</v>
      </c>
      <c r="G6117" s="1" t="s">
        <v>19281</v>
      </c>
    </row>
    <row r="6118" spans="1:7" x14ac:dyDescent="0.3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 x14ac:dyDescent="0.3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 x14ac:dyDescent="0.3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G6120" s="1" t="s">
        <v>19291</v>
      </c>
    </row>
    <row r="6121" spans="1:7" x14ac:dyDescent="0.3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</row>
    <row r="6122" spans="1:7" x14ac:dyDescent="0.3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G6122" s="1" t="s">
        <v>19296</v>
      </c>
    </row>
    <row r="6123" spans="1:7" x14ac:dyDescent="0.3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G6123" s="1" t="s">
        <v>19299</v>
      </c>
    </row>
    <row r="6124" spans="1:7" x14ac:dyDescent="0.3">
      <c r="A6124" s="1" t="s">
        <v>30</v>
      </c>
      <c r="B6124" s="1" t="s">
        <v>19300</v>
      </c>
      <c r="C6124" s="1" t="s">
        <v>19301</v>
      </c>
      <c r="D6124" s="1" t="s">
        <v>19290</v>
      </c>
      <c r="G6124" s="1" t="s">
        <v>19302</v>
      </c>
    </row>
    <row r="6125" spans="1:7" x14ac:dyDescent="0.3">
      <c r="A6125" s="1" t="s">
        <v>30</v>
      </c>
      <c r="B6125" s="1" t="s">
        <v>849</v>
      </c>
      <c r="C6125" s="1" t="s">
        <v>19303</v>
      </c>
      <c r="D6125" s="1" t="s">
        <v>19290</v>
      </c>
      <c r="G6125" s="1" t="s">
        <v>19304</v>
      </c>
    </row>
    <row r="6126" spans="1:7" x14ac:dyDescent="0.3">
      <c r="A6126" s="1" t="s">
        <v>30</v>
      </c>
      <c r="B6126" s="1" t="s">
        <v>19305</v>
      </c>
      <c r="C6126" s="1" t="s">
        <v>19306</v>
      </c>
      <c r="D6126" s="1" t="s">
        <v>19290</v>
      </c>
      <c r="G6126" s="1" t="s">
        <v>19307</v>
      </c>
    </row>
    <row r="6127" spans="1:7" x14ac:dyDescent="0.3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G6127" s="1" t="s">
        <v>19311</v>
      </c>
    </row>
    <row r="6128" spans="1:7" x14ac:dyDescent="0.3">
      <c r="A6128" s="1" t="s">
        <v>30</v>
      </c>
      <c r="B6128" s="1" t="s">
        <v>19312</v>
      </c>
      <c r="C6128" s="1" t="s">
        <v>19313</v>
      </c>
      <c r="D6128" s="1" t="s">
        <v>19290</v>
      </c>
      <c r="G6128" s="1" t="s">
        <v>19314</v>
      </c>
    </row>
    <row r="6129" spans="1:7" x14ac:dyDescent="0.3">
      <c r="A6129" s="1" t="s">
        <v>89</v>
      </c>
      <c r="B6129" s="1" t="s">
        <v>19315</v>
      </c>
      <c r="D6129" s="1" t="s">
        <v>19290</v>
      </c>
      <c r="G6129" s="1" t="s">
        <v>19316</v>
      </c>
    </row>
    <row r="6130" spans="1:7" x14ac:dyDescent="0.3">
      <c r="A6130" s="1" t="s">
        <v>30</v>
      </c>
      <c r="B6130" s="1" t="s">
        <v>19317</v>
      </c>
      <c r="C6130" s="1" t="s">
        <v>19318</v>
      </c>
      <c r="D6130" s="1" t="s">
        <v>19290</v>
      </c>
      <c r="G6130" s="1" t="s">
        <v>19319</v>
      </c>
    </row>
    <row r="6131" spans="1:7" x14ac:dyDescent="0.3">
      <c r="A6131" s="1" t="s">
        <v>30</v>
      </c>
      <c r="B6131" s="1" t="s">
        <v>19320</v>
      </c>
      <c r="C6131" s="1" t="s">
        <v>19321</v>
      </c>
      <c r="D6131" s="1" t="s">
        <v>19290</v>
      </c>
      <c r="G6131" s="1" t="s">
        <v>19322</v>
      </c>
    </row>
    <row r="6132" spans="1:7" x14ac:dyDescent="0.3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G6132" s="1" t="s">
        <v>19326</v>
      </c>
    </row>
    <row r="6133" spans="1:7" x14ac:dyDescent="0.3">
      <c r="A6133" s="1" t="s">
        <v>30</v>
      </c>
      <c r="B6133" s="1" t="s">
        <v>19327</v>
      </c>
      <c r="C6133" s="1" t="s">
        <v>19328</v>
      </c>
      <c r="D6133" s="1" t="s">
        <v>19290</v>
      </c>
      <c r="G6133" s="1" t="s">
        <v>19329</v>
      </c>
    </row>
    <row r="6134" spans="1:7" x14ac:dyDescent="0.3">
      <c r="A6134" s="1" t="s">
        <v>30</v>
      </c>
      <c r="B6134" s="1" t="s">
        <v>19330</v>
      </c>
      <c r="C6134" s="1" t="s">
        <v>19331</v>
      </c>
      <c r="D6134" s="1" t="s">
        <v>19290</v>
      </c>
      <c r="F6134" s="1" t="s">
        <v>19332</v>
      </c>
      <c r="G6134" s="1" t="s">
        <v>19333</v>
      </c>
    </row>
    <row r="6135" spans="1:7" x14ac:dyDescent="0.3">
      <c r="A6135" s="1" t="s">
        <v>30</v>
      </c>
      <c r="B6135" s="1" t="s">
        <v>19334</v>
      </c>
      <c r="C6135" s="1" t="s">
        <v>19335</v>
      </c>
      <c r="D6135" s="1" t="s">
        <v>19290</v>
      </c>
      <c r="F6135" s="1" t="s">
        <v>19336</v>
      </c>
      <c r="G6135" s="1" t="s">
        <v>19337</v>
      </c>
    </row>
    <row r="6136" spans="1:7" x14ac:dyDescent="0.3">
      <c r="A6136" s="1" t="s">
        <v>30</v>
      </c>
      <c r="B6136" s="1" t="s">
        <v>19338</v>
      </c>
      <c r="C6136" s="1" t="s">
        <v>19339</v>
      </c>
      <c r="D6136" s="1" t="s">
        <v>19290</v>
      </c>
      <c r="F6136" s="1" t="s">
        <v>19340</v>
      </c>
      <c r="G6136" s="1" t="s">
        <v>19337</v>
      </c>
    </row>
    <row r="6137" spans="1:7" x14ac:dyDescent="0.3">
      <c r="A6137" s="1" t="s">
        <v>30</v>
      </c>
      <c r="B6137" s="1" t="s">
        <v>19341</v>
      </c>
      <c r="C6137" s="1" t="s">
        <v>19342</v>
      </c>
      <c r="D6137" s="1" t="s">
        <v>19290</v>
      </c>
      <c r="G6137" s="1" t="s">
        <v>19343</v>
      </c>
    </row>
    <row r="6138" spans="1:7" x14ac:dyDescent="0.3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G6138" s="1" t="s">
        <v>19346</v>
      </c>
    </row>
    <row r="6139" spans="1:7" x14ac:dyDescent="0.3">
      <c r="A6139" s="1" t="s">
        <v>680</v>
      </c>
      <c r="B6139" s="1" t="s">
        <v>19347</v>
      </c>
      <c r="D6139" s="1" t="s">
        <v>19290</v>
      </c>
    </row>
    <row r="6140" spans="1:7" x14ac:dyDescent="0.3">
      <c r="A6140" s="1" t="s">
        <v>30</v>
      </c>
      <c r="B6140" s="1" t="s">
        <v>19348</v>
      </c>
      <c r="C6140" s="1" t="s">
        <v>19349</v>
      </c>
      <c r="D6140" s="1" t="s">
        <v>19290</v>
      </c>
      <c r="F6140" s="1" t="s">
        <v>19350</v>
      </c>
      <c r="G6140" s="1" t="s">
        <v>19351</v>
      </c>
    </row>
    <row r="6141" spans="1:7" x14ac:dyDescent="0.3">
      <c r="A6141" s="1" t="s">
        <v>30</v>
      </c>
      <c r="B6141" s="1" t="s">
        <v>19352</v>
      </c>
      <c r="C6141" s="1" t="s">
        <v>19353</v>
      </c>
      <c r="D6141" s="1" t="s">
        <v>19290</v>
      </c>
      <c r="F6141" s="1" t="s">
        <v>19354</v>
      </c>
      <c r="G6141" s="1" t="s">
        <v>19355</v>
      </c>
    </row>
    <row r="6142" spans="1:7" x14ac:dyDescent="0.3">
      <c r="A6142" s="1" t="s">
        <v>83</v>
      </c>
      <c r="B6142" s="1" t="s">
        <v>19356</v>
      </c>
      <c r="C6142" s="1" t="s">
        <v>19357</v>
      </c>
      <c r="D6142" s="1" t="s">
        <v>19290</v>
      </c>
      <c r="F6142" s="1" t="s">
        <v>19358</v>
      </c>
      <c r="G6142" s="1" t="s">
        <v>19359</v>
      </c>
    </row>
    <row r="6143" spans="1:7" x14ac:dyDescent="0.3">
      <c r="A6143" s="1" t="s">
        <v>30</v>
      </c>
      <c r="B6143" s="1" t="s">
        <v>19360</v>
      </c>
      <c r="C6143" s="1" t="s">
        <v>19361</v>
      </c>
      <c r="D6143" s="1" t="s">
        <v>19290</v>
      </c>
      <c r="G6143" s="1" t="s">
        <v>19362</v>
      </c>
    </row>
    <row r="6144" spans="1:7" x14ac:dyDescent="0.3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 x14ac:dyDescent="0.3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</row>
    <row r="6146" spans="1:7" x14ac:dyDescent="0.3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 x14ac:dyDescent="0.3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 x14ac:dyDescent="0.3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 x14ac:dyDescent="0.3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 x14ac:dyDescent="0.3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</row>
    <row r="6151" spans="1:7" x14ac:dyDescent="0.3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G6151" s="1" t="s">
        <v>19391</v>
      </c>
    </row>
    <row r="6152" spans="1:7" x14ac:dyDescent="0.3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 x14ac:dyDescent="0.3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</row>
    <row r="6154" spans="1:7" x14ac:dyDescent="0.3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 x14ac:dyDescent="0.3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 x14ac:dyDescent="0.3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 x14ac:dyDescent="0.3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</row>
    <row r="6158" spans="1:7" x14ac:dyDescent="0.3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G6158" s="1" t="s">
        <v>19409</v>
      </c>
    </row>
    <row r="6159" spans="1:7" x14ac:dyDescent="0.3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</row>
    <row r="6160" spans="1:7" x14ac:dyDescent="0.3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 x14ac:dyDescent="0.3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 x14ac:dyDescent="0.3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 x14ac:dyDescent="0.3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 x14ac:dyDescent="0.3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 x14ac:dyDescent="0.3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 x14ac:dyDescent="0.3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 x14ac:dyDescent="0.3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 x14ac:dyDescent="0.3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 x14ac:dyDescent="0.3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 x14ac:dyDescent="0.3">
      <c r="A6170" s="1" t="s">
        <v>680</v>
      </c>
      <c r="B6170" s="1" t="s">
        <v>19443</v>
      </c>
      <c r="D6170" s="1" t="s">
        <v>19290</v>
      </c>
    </row>
    <row r="6171" spans="1:7" x14ac:dyDescent="0.3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</row>
    <row r="6172" spans="1:7" x14ac:dyDescent="0.3">
      <c r="A6172" s="1" t="s">
        <v>680</v>
      </c>
      <c r="B6172" s="1" t="s">
        <v>19445</v>
      </c>
      <c r="D6172" s="1" t="s">
        <v>19290</v>
      </c>
    </row>
    <row r="6173" spans="1:7" x14ac:dyDescent="0.3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</row>
    <row r="6174" spans="1:7" x14ac:dyDescent="0.3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</row>
    <row r="6175" spans="1:7" x14ac:dyDescent="0.3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 x14ac:dyDescent="0.3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 x14ac:dyDescent="0.3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</row>
    <row r="6178" spans="1:7" x14ac:dyDescent="0.3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</row>
    <row r="6179" spans="1:7" x14ac:dyDescent="0.3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</row>
    <row r="6180" spans="1:7" x14ac:dyDescent="0.3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</row>
    <row r="6181" spans="1:7" x14ac:dyDescent="0.3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</row>
    <row r="6182" spans="1:7" x14ac:dyDescent="0.3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 x14ac:dyDescent="0.3">
      <c r="A6183" s="1" t="s">
        <v>680</v>
      </c>
      <c r="B6183" s="1" t="s">
        <v>19465</v>
      </c>
      <c r="C6183" s="1" t="s">
        <v>3806</v>
      </c>
      <c r="D6183" s="1" t="s">
        <v>19290</v>
      </c>
    </row>
    <row r="6184" spans="1:7" x14ac:dyDescent="0.3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</row>
    <row r="6185" spans="1:7" x14ac:dyDescent="0.3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</row>
    <row r="6186" spans="1:7" x14ac:dyDescent="0.3">
      <c r="A6186" s="1" t="s">
        <v>680</v>
      </c>
      <c r="B6186" s="1" t="s">
        <v>12844</v>
      </c>
      <c r="D6186" s="1" t="s">
        <v>19290</v>
      </c>
    </row>
    <row r="6187" spans="1:7" x14ac:dyDescent="0.3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</row>
    <row r="6188" spans="1:7" x14ac:dyDescent="0.3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</row>
    <row r="6189" spans="1:7" x14ac:dyDescent="0.3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</row>
    <row r="6190" spans="1:7" x14ac:dyDescent="0.3">
      <c r="A6190" s="1" t="s">
        <v>680</v>
      </c>
      <c r="B6190" s="1" t="s">
        <v>19473</v>
      </c>
      <c r="D6190" s="1" t="s">
        <v>19290</v>
      </c>
    </row>
    <row r="6191" spans="1:7" x14ac:dyDescent="0.3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</row>
    <row r="6192" spans="1:7" x14ac:dyDescent="0.3">
      <c r="A6192" s="1" t="s">
        <v>680</v>
      </c>
      <c r="B6192" s="1" t="s">
        <v>19475</v>
      </c>
      <c r="D6192" s="1" t="s">
        <v>19290</v>
      </c>
      <c r="F6192" s="1" t="s">
        <v>19476</v>
      </c>
    </row>
    <row r="6193" spans="1:7" x14ac:dyDescent="0.3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</row>
    <row r="6194" spans="1:7" x14ac:dyDescent="0.3">
      <c r="A6194" s="1" t="s">
        <v>680</v>
      </c>
      <c r="B6194" s="1" t="s">
        <v>19478</v>
      </c>
      <c r="D6194" s="1" t="s">
        <v>19290</v>
      </c>
    </row>
    <row r="6195" spans="1:7" x14ac:dyDescent="0.3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</row>
    <row r="6196" spans="1:7" x14ac:dyDescent="0.3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 x14ac:dyDescent="0.3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 x14ac:dyDescent="0.3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</row>
    <row r="6199" spans="1:7" x14ac:dyDescent="0.3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G6199" s="1" t="s">
        <v>19489</v>
      </c>
    </row>
    <row r="6200" spans="1:7" x14ac:dyDescent="0.3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 x14ac:dyDescent="0.3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 x14ac:dyDescent="0.3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</row>
    <row r="6203" spans="1:7" x14ac:dyDescent="0.3">
      <c r="A6203" s="1" t="s">
        <v>36</v>
      </c>
      <c r="B6203" s="1" t="s">
        <v>19501</v>
      </c>
      <c r="C6203" s="1" t="s">
        <v>19502</v>
      </c>
      <c r="D6203" s="1" t="s">
        <v>19496</v>
      </c>
      <c r="F6203" s="1" t="s">
        <v>19503</v>
      </c>
      <c r="G6203" s="1" t="s">
        <v>19504</v>
      </c>
    </row>
    <row r="6204" spans="1:7" x14ac:dyDescent="0.3">
      <c r="A6204" s="1" t="s">
        <v>36</v>
      </c>
      <c r="B6204" s="1" t="s">
        <v>19505</v>
      </c>
      <c r="C6204" s="1" t="s">
        <v>19506</v>
      </c>
      <c r="D6204" s="1" t="s">
        <v>19507</v>
      </c>
      <c r="F6204" s="1" t="s">
        <v>19508</v>
      </c>
      <c r="G6204" s="1" t="s">
        <v>19509</v>
      </c>
    </row>
    <row r="6205" spans="1:7" x14ac:dyDescent="0.3">
      <c r="A6205" s="1" t="s">
        <v>30</v>
      </c>
      <c r="B6205" s="1" t="s">
        <v>19510</v>
      </c>
      <c r="C6205" s="1" t="s">
        <v>19511</v>
      </c>
      <c r="D6205" s="1" t="s">
        <v>19507</v>
      </c>
      <c r="F6205" s="1" t="s">
        <v>19512</v>
      </c>
      <c r="G6205" s="1" t="s">
        <v>19513</v>
      </c>
    </row>
    <row r="6206" spans="1:7" x14ac:dyDescent="0.3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 x14ac:dyDescent="0.3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 x14ac:dyDescent="0.3">
      <c r="A6208" s="1" t="s">
        <v>30</v>
      </c>
      <c r="B6208" s="1" t="s">
        <v>19523</v>
      </c>
      <c r="C6208" s="1" t="s">
        <v>19524</v>
      </c>
      <c r="D6208" s="1" t="s">
        <v>19507</v>
      </c>
      <c r="F6208" s="1" t="s">
        <v>19525</v>
      </c>
      <c r="G6208" s="1" t="s">
        <v>19526</v>
      </c>
    </row>
    <row r="6209" spans="1:7" x14ac:dyDescent="0.3">
      <c r="A6209" s="1" t="s">
        <v>36</v>
      </c>
      <c r="B6209" s="1" t="s">
        <v>11140</v>
      </c>
      <c r="D6209" s="1" t="s">
        <v>19507</v>
      </c>
      <c r="F6209" s="1" t="s">
        <v>19527</v>
      </c>
      <c r="G6209" s="1" t="s">
        <v>19528</v>
      </c>
    </row>
    <row r="6210" spans="1:7" x14ac:dyDescent="0.3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</row>
    <row r="6211" spans="1:7" x14ac:dyDescent="0.3">
      <c r="A6211" s="1" t="s">
        <v>36</v>
      </c>
      <c r="B6211" s="1" t="s">
        <v>19531</v>
      </c>
      <c r="C6211" s="1" t="s">
        <v>19532</v>
      </c>
      <c r="D6211" s="1" t="s">
        <v>19507</v>
      </c>
      <c r="F6211" s="1" t="s">
        <v>19533</v>
      </c>
      <c r="G6211" s="1" t="s">
        <v>19534</v>
      </c>
    </row>
    <row r="6212" spans="1:7" x14ac:dyDescent="0.3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G6212" s="1" t="s">
        <v>19537</v>
      </c>
    </row>
    <row r="6213" spans="1:7" x14ac:dyDescent="0.3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 x14ac:dyDescent="0.3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G6214" s="1" t="s">
        <v>19541</v>
      </c>
    </row>
    <row r="6215" spans="1:7" x14ac:dyDescent="0.3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 x14ac:dyDescent="0.3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</row>
    <row r="6217" spans="1:7" x14ac:dyDescent="0.3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G6217" s="1" t="s">
        <v>19553</v>
      </c>
    </row>
    <row r="6218" spans="1:7" x14ac:dyDescent="0.3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G6218" s="1" t="s">
        <v>19557</v>
      </c>
    </row>
    <row r="6219" spans="1:7" x14ac:dyDescent="0.3">
      <c r="A6219" s="1" t="s">
        <v>36</v>
      </c>
      <c r="B6219" s="1" t="s">
        <v>19558</v>
      </c>
      <c r="C6219" s="1" t="s">
        <v>19559</v>
      </c>
      <c r="D6219" s="1" t="s">
        <v>19548</v>
      </c>
      <c r="G6219" s="1" t="s">
        <v>19560</v>
      </c>
    </row>
    <row r="6220" spans="1:7" x14ac:dyDescent="0.3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 x14ac:dyDescent="0.3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 x14ac:dyDescent="0.3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G6222" s="1" t="s">
        <v>19572</v>
      </c>
    </row>
    <row r="6223" spans="1:7" x14ac:dyDescent="0.3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 x14ac:dyDescent="0.3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 x14ac:dyDescent="0.3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 x14ac:dyDescent="0.3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 x14ac:dyDescent="0.3">
      <c r="A6227" s="1" t="s">
        <v>83</v>
      </c>
      <c r="B6227" s="1" t="s">
        <v>19591</v>
      </c>
      <c r="C6227" s="1" t="s">
        <v>19592</v>
      </c>
      <c r="D6227" s="1" t="s">
        <v>19548</v>
      </c>
      <c r="G6227" s="1" t="s">
        <v>19593</v>
      </c>
    </row>
    <row r="6228" spans="1:7" x14ac:dyDescent="0.3">
      <c r="A6228" s="1" t="s">
        <v>30</v>
      </c>
      <c r="B6228" s="1" t="s">
        <v>1723</v>
      </c>
      <c r="C6228" s="1" t="s">
        <v>19594</v>
      </c>
      <c r="D6228" s="1" t="s">
        <v>19548</v>
      </c>
      <c r="G6228" s="1" t="s">
        <v>19595</v>
      </c>
    </row>
    <row r="6229" spans="1:7" x14ac:dyDescent="0.3">
      <c r="A6229" s="1" t="s">
        <v>30</v>
      </c>
      <c r="B6229" s="1" t="s">
        <v>19596</v>
      </c>
      <c r="C6229" s="1" t="s">
        <v>19597</v>
      </c>
      <c r="D6229" s="1" t="s">
        <v>19548</v>
      </c>
      <c r="F6229" s="1" t="s">
        <v>19598</v>
      </c>
      <c r="G6229" s="1" t="s">
        <v>19599</v>
      </c>
    </row>
    <row r="6230" spans="1:7" x14ac:dyDescent="0.3">
      <c r="A6230" s="1" t="s">
        <v>36</v>
      </c>
      <c r="B6230" s="1" t="s">
        <v>19600</v>
      </c>
      <c r="C6230" s="1" t="s">
        <v>19601</v>
      </c>
      <c r="D6230" s="1" t="s">
        <v>19548</v>
      </c>
      <c r="G6230" s="1" t="s">
        <v>19602</v>
      </c>
    </row>
    <row r="6231" spans="1:7" x14ac:dyDescent="0.3">
      <c r="A6231" s="1" t="s">
        <v>30</v>
      </c>
      <c r="B6231" s="1" t="s">
        <v>19603</v>
      </c>
      <c r="C6231" s="1" t="s">
        <v>19604</v>
      </c>
      <c r="D6231" s="1" t="s">
        <v>19548</v>
      </c>
      <c r="F6231" s="1" t="s">
        <v>19605</v>
      </c>
      <c r="G6231" s="1" t="s">
        <v>19606</v>
      </c>
    </row>
    <row r="6232" spans="1:7" x14ac:dyDescent="0.3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 x14ac:dyDescent="0.3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 x14ac:dyDescent="0.3">
      <c r="A6234" s="1" t="s">
        <v>30</v>
      </c>
      <c r="B6234" s="1" t="s">
        <v>19617</v>
      </c>
      <c r="C6234" s="1" t="s">
        <v>19618</v>
      </c>
      <c r="D6234" s="1" t="s">
        <v>19548</v>
      </c>
      <c r="G6234" s="1" t="s">
        <v>19619</v>
      </c>
    </row>
    <row r="6235" spans="1:7" x14ac:dyDescent="0.3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G6235" s="1" t="s">
        <v>19623</v>
      </c>
    </row>
    <row r="6236" spans="1:7" x14ac:dyDescent="0.3">
      <c r="A6236" s="1" t="s">
        <v>30</v>
      </c>
      <c r="B6236" s="1" t="s">
        <v>19624</v>
      </c>
      <c r="C6236" s="1" t="s">
        <v>19625</v>
      </c>
      <c r="D6236" s="1" t="s">
        <v>19548</v>
      </c>
      <c r="G6236" s="1" t="s">
        <v>19626</v>
      </c>
    </row>
    <row r="6237" spans="1:7" x14ac:dyDescent="0.3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G6237" s="1" t="s">
        <v>19629</v>
      </c>
    </row>
    <row r="6238" spans="1:7" x14ac:dyDescent="0.3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G6238" s="1" t="s">
        <v>19632</v>
      </c>
    </row>
    <row r="6239" spans="1:7" x14ac:dyDescent="0.3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 x14ac:dyDescent="0.3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 x14ac:dyDescent="0.3">
      <c r="A6241" s="1" t="s">
        <v>36</v>
      </c>
      <c r="B6241" s="1" t="s">
        <v>19643</v>
      </c>
      <c r="C6241" s="1" t="s">
        <v>19644</v>
      </c>
      <c r="D6241" s="1" t="s">
        <v>19635</v>
      </c>
      <c r="F6241" s="1" t="s">
        <v>19645</v>
      </c>
      <c r="G6241" s="1" t="s">
        <v>19646</v>
      </c>
    </row>
    <row r="6242" spans="1:7" x14ac:dyDescent="0.3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G6242" s="1" t="s">
        <v>19649</v>
      </c>
    </row>
    <row r="6243" spans="1:7" x14ac:dyDescent="0.3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 x14ac:dyDescent="0.3">
      <c r="A6244" s="1" t="s">
        <v>36</v>
      </c>
      <c r="B6244" s="1" t="s">
        <v>19654</v>
      </c>
      <c r="C6244" s="1" t="s">
        <v>19655</v>
      </c>
      <c r="D6244" s="1" t="s">
        <v>19656</v>
      </c>
    </row>
    <row r="6245" spans="1:7" x14ac:dyDescent="0.3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G6245" s="1" t="s">
        <v>19659</v>
      </c>
    </row>
    <row r="6246" spans="1:7" x14ac:dyDescent="0.3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G6246" s="1" t="s">
        <v>19662</v>
      </c>
    </row>
    <row r="6247" spans="1:7" x14ac:dyDescent="0.3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</row>
    <row r="6248" spans="1:7" x14ac:dyDescent="0.3">
      <c r="A6248" s="1" t="s">
        <v>83</v>
      </c>
      <c r="B6248" s="1" t="s">
        <v>19665</v>
      </c>
      <c r="C6248" s="1" t="s">
        <v>19666</v>
      </c>
      <c r="D6248" s="1" t="s">
        <v>19656</v>
      </c>
      <c r="G6248" s="1" t="s">
        <v>19667</v>
      </c>
    </row>
    <row r="6249" spans="1:7" x14ac:dyDescent="0.3">
      <c r="A6249" s="1" t="s">
        <v>83</v>
      </c>
      <c r="B6249" s="1" t="s">
        <v>19668</v>
      </c>
      <c r="C6249" s="1" t="s">
        <v>19669</v>
      </c>
      <c r="D6249" s="1" t="s">
        <v>19656</v>
      </c>
      <c r="F6249" s="1" t="s">
        <v>19670</v>
      </c>
      <c r="G6249" s="1" t="s">
        <v>19671</v>
      </c>
    </row>
    <row r="6250" spans="1:7" x14ac:dyDescent="0.3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 x14ac:dyDescent="0.3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G6251" s="1" t="s">
        <v>19679</v>
      </c>
    </row>
    <row r="6252" spans="1:7" x14ac:dyDescent="0.3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G6252" s="1" t="s">
        <v>19681</v>
      </c>
    </row>
    <row r="6253" spans="1:7" x14ac:dyDescent="0.3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</row>
    <row r="6254" spans="1:7" x14ac:dyDescent="0.3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</row>
    <row r="6255" spans="1:7" x14ac:dyDescent="0.3">
      <c r="A6255" s="1" t="s">
        <v>89</v>
      </c>
      <c r="B6255" s="1" t="s">
        <v>19684</v>
      </c>
      <c r="D6255" s="1" t="s">
        <v>19656</v>
      </c>
      <c r="G6255" s="1" t="s">
        <v>19685</v>
      </c>
    </row>
    <row r="6256" spans="1:7" x14ac:dyDescent="0.3">
      <c r="A6256" s="1" t="s">
        <v>36</v>
      </c>
      <c r="B6256" s="1" t="s">
        <v>19686</v>
      </c>
      <c r="C6256" s="1" t="s">
        <v>19687</v>
      </c>
      <c r="D6256" s="1" t="s">
        <v>19656</v>
      </c>
      <c r="F6256" s="1" t="s">
        <v>19688</v>
      </c>
      <c r="G6256" s="1" t="s">
        <v>19689</v>
      </c>
    </row>
    <row r="6257" spans="1:7" x14ac:dyDescent="0.3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 x14ac:dyDescent="0.3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G6258" s="1" t="s">
        <v>19697</v>
      </c>
    </row>
    <row r="6259" spans="1:7" x14ac:dyDescent="0.3">
      <c r="A6259" s="1" t="s">
        <v>36</v>
      </c>
      <c r="B6259" s="1" t="s">
        <v>19698</v>
      </c>
      <c r="C6259" s="1" t="s">
        <v>19699</v>
      </c>
      <c r="D6259" s="1" t="s">
        <v>19692</v>
      </c>
      <c r="F6259" s="1" t="s">
        <v>19700</v>
      </c>
      <c r="G6259" s="1" t="s">
        <v>19701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099E-42A6-48DA-B17A-1B1E43229364}">
  <dimension ref="A1"/>
  <sheetViews>
    <sheetView workbookViewId="0">
      <selection activeCell="C1" sqref="C1:D235"/>
    </sheetView>
  </sheetViews>
  <sheetFormatPr defaultRowHeight="14.4" x14ac:dyDescent="0.3"/>
  <cols>
    <col min="1" max="1" width="28.44140625" bestFit="1" customWidth="1"/>
    <col min="2" max="2" width="16.21875" bestFit="1" customWidth="1"/>
    <col min="3" max="3" width="28.44140625" bestFit="1" customWidth="1"/>
    <col min="4" max="4" width="16.218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236"/>
  <sheetViews>
    <sheetView tabSelected="1" topLeftCell="I1" workbookViewId="0">
      <selection activeCell="S5" sqref="S5"/>
    </sheetView>
  </sheetViews>
  <sheetFormatPr defaultColWidth="14.44140625" defaultRowHeight="15" customHeight="1" x14ac:dyDescent="0.3"/>
  <cols>
    <col min="1" max="1" width="4.109375" customWidth="1"/>
    <col min="2" max="2" width="31.33203125" customWidth="1"/>
    <col min="3" max="3" width="47.109375" customWidth="1"/>
    <col min="4" max="4" width="8.6640625" customWidth="1"/>
    <col min="5" max="5" width="31.88671875" customWidth="1"/>
    <col min="6" max="7" width="8.6640625" customWidth="1"/>
    <col min="8" max="8" width="25.33203125" customWidth="1"/>
    <col min="9" max="9" width="35.109375" customWidth="1"/>
    <col min="10" max="11" width="8.6640625" customWidth="1"/>
    <col min="12" max="12" width="22.6640625" customWidth="1"/>
    <col min="13" max="14" width="20.109375" customWidth="1"/>
    <col min="15" max="15" width="8.6640625" customWidth="1"/>
    <col min="16" max="16" width="12.109375" customWidth="1"/>
    <col min="17" max="26" width="8.6640625" customWidth="1"/>
  </cols>
  <sheetData>
    <row r="1" spans="2:17" ht="24" thickBot="1" x14ac:dyDescent="0.4">
      <c r="B1" s="3" t="s">
        <v>19710</v>
      </c>
      <c r="C1" s="4" t="s">
        <v>19711</v>
      </c>
      <c r="E1" s="29" t="s">
        <v>19712</v>
      </c>
      <c r="H1" s="29" t="s">
        <v>19713</v>
      </c>
      <c r="L1" s="29" t="s">
        <v>19769</v>
      </c>
    </row>
    <row r="2" spans="2:17" ht="24" thickBot="1" x14ac:dyDescent="0.4">
      <c r="B2" s="3"/>
      <c r="C2" s="4"/>
      <c r="E2" s="29"/>
      <c r="H2" s="29"/>
      <c r="L2" s="29" t="s">
        <v>3</v>
      </c>
      <c r="M2" s="29" t="s">
        <v>19777</v>
      </c>
      <c r="N2" s="29" t="s">
        <v>19778</v>
      </c>
      <c r="P2" s="32" t="s">
        <v>19779</v>
      </c>
      <c r="Q2">
        <f>_xlfn.COVARIANCE.S(M3:M236,N3:N236)</f>
        <v>-52.023605150214586</v>
      </c>
    </row>
    <row r="3" spans="2:17" ht="15" customHeight="1" x14ac:dyDescent="0.3">
      <c r="B3" s="3" t="s">
        <v>19702</v>
      </c>
      <c r="C3" s="5"/>
      <c r="H3" s="23" t="s">
        <v>16</v>
      </c>
      <c r="L3" t="str" cm="1">
        <f t="array" ref="L3:L236">prezzi__2[CITTA'']</f>
        <v>URBINO</v>
      </c>
      <c r="M3">
        <f>COUNTIFS(Tabella1[Città],L2)</f>
        <v>0</v>
      </c>
      <c r="N3" cm="1">
        <f t="array" ref="N3:N236">prezzi__2[PREZZO MEDIO]</f>
        <v>31</v>
      </c>
      <c r="P3" s="34" t="s">
        <v>19780</v>
      </c>
      <c r="Q3">
        <f>CORREL(M3:M236,N3:N236)</f>
        <v>-3.7066970690094951E-2</v>
      </c>
    </row>
    <row r="4" spans="2:17" ht="28.8" customHeight="1" thickBot="1" x14ac:dyDescent="0.35">
      <c r="B4" s="6"/>
      <c r="C4" s="7"/>
      <c r="H4" s="23"/>
      <c r="L4" t="str">
        <v>ACQUALAGNA</v>
      </c>
      <c r="M4">
        <f>COUNTIFS(Tabella1[Città],L3)</f>
        <v>144</v>
      </c>
      <c r="N4">
        <v>75</v>
      </c>
      <c r="P4" s="34" t="s">
        <v>19781</v>
      </c>
    </row>
    <row r="5" spans="2:17" ht="18.600000000000001" thickBot="1" x14ac:dyDescent="0.4">
      <c r="B5" s="8" t="s">
        <v>19703</v>
      </c>
      <c r="C5" s="9" t="s">
        <v>4102</v>
      </c>
      <c r="E5" s="21" t="s">
        <v>30</v>
      </c>
      <c r="F5" s="22">
        <v>1809</v>
      </c>
      <c r="H5" s="18" t="s">
        <v>21</v>
      </c>
      <c r="I5" s="20" t="s">
        <v>58</v>
      </c>
      <c r="L5" t="str">
        <v>APECCHIO</v>
      </c>
      <c r="M5">
        <f>COUNTIFS(Tabella1[Città],L4)</f>
        <v>25</v>
      </c>
      <c r="N5">
        <v>77</v>
      </c>
    </row>
    <row r="6" spans="2:17" ht="18" x14ac:dyDescent="0.35">
      <c r="B6" s="10" t="s">
        <v>19704</v>
      </c>
      <c r="C6" s="11" t="str">
        <f>IF(_xlfn.XLOOKUP(C5, Tabella1[Denominazione], Tabella1[Città], "")="", "Non disponibile", _xlfn.XLOOKUP(C5, Tabella1[Denominazione], Tabella1[Città], "Non disponibile"))</f>
        <v>PESARO</v>
      </c>
      <c r="E6" s="21" t="s">
        <v>680</v>
      </c>
      <c r="F6" s="22">
        <v>850</v>
      </c>
      <c r="H6" s="18" t="s">
        <v>21</v>
      </c>
      <c r="I6" s="20" t="s">
        <v>24</v>
      </c>
      <c r="L6" t="str">
        <v>AUDITORE</v>
      </c>
      <c r="M6">
        <f>COUNTIFS(Tabella1[Città],L5)</f>
        <v>31</v>
      </c>
      <c r="N6">
        <v>93</v>
      </c>
      <c r="P6" s="29" t="s">
        <v>19770</v>
      </c>
    </row>
    <row r="7" spans="2:17" ht="14.4" x14ac:dyDescent="0.3">
      <c r="B7" s="12" t="s">
        <v>19705</v>
      </c>
      <c r="C7" s="13" t="str">
        <f>IF(_xlfn.XLOOKUP(C5, Tabella1[Denominazione], Tabella1[Indirizzo], "")="", "Non disponibile", _xlfn.XLOOKUP(C5, Tabella1[Denominazione], Tabella1[Indirizzo], "Non disponibile"))</f>
        <v>viale trieste 20</v>
      </c>
      <c r="E7" s="21" t="s">
        <v>36</v>
      </c>
      <c r="F7" s="22">
        <v>830</v>
      </c>
      <c r="H7" s="18" t="s">
        <v>21</v>
      </c>
      <c r="I7" s="20" t="s">
        <v>53</v>
      </c>
      <c r="L7" t="str">
        <v>BARCHI</v>
      </c>
      <c r="M7">
        <f>COUNTIFS(Tabella1[Città],L6)</f>
        <v>7</v>
      </c>
      <c r="N7">
        <v>83</v>
      </c>
    </row>
    <row r="8" spans="2:17" ht="14.4" x14ac:dyDescent="0.3">
      <c r="B8" s="14" t="s">
        <v>19706</v>
      </c>
      <c r="C8" s="13" t="str">
        <f>IF(_xlfn.XLOOKUP(C5, Tabella1[Denominazione], Tabella1[Indirizzo di posta elettronica], "")="", "Non disponibile", _xlfn.XLOOKUP(C5, Tabella1[Denominazione], Tabella1[Indirizzo di posta elettronica], "Non disponibile"))</f>
        <v>alexander@viphotels.it</v>
      </c>
      <c r="E8" s="21" t="s">
        <v>21</v>
      </c>
      <c r="F8" s="22">
        <v>814</v>
      </c>
      <c r="H8" s="18" t="s">
        <v>21</v>
      </c>
      <c r="I8" s="20" t="s">
        <v>43</v>
      </c>
      <c r="L8" t="str">
        <v>BELFORTE ALL'ISAURO</v>
      </c>
      <c r="M8">
        <f>COUNTIFS(Tabella1[Città],L7)</f>
        <v>8</v>
      </c>
      <c r="N8">
        <v>49</v>
      </c>
    </row>
    <row r="9" spans="2:17" thickBot="1" x14ac:dyDescent="0.35">
      <c r="B9" s="12" t="s">
        <v>19707</v>
      </c>
      <c r="C9" s="13" t="str">
        <f>IF(_xlfn.XLOOKUP(C5, Tabella1[Denominazione], Tabella1[Indirizzo internet], "")="", "Non disponibile", _xlfn.XLOOKUP(C5, Tabella1[Denominazione], Tabella1[Indirizzo internet], "Non disponibile"))</f>
        <v>www.alexandermuseum.it</v>
      </c>
      <c r="E9" s="21" t="s">
        <v>13</v>
      </c>
      <c r="F9" s="22">
        <v>721</v>
      </c>
      <c r="H9" s="18" t="s">
        <v>21</v>
      </c>
      <c r="I9" s="20" t="s">
        <v>39</v>
      </c>
      <c r="L9" t="str">
        <v>BORGO PACE</v>
      </c>
      <c r="M9">
        <f>COUNTIFS(Tabella1[Città],L8)</f>
        <v>3</v>
      </c>
      <c r="N9">
        <v>58</v>
      </c>
    </row>
    <row r="10" spans="2:17" ht="14.4" x14ac:dyDescent="0.3">
      <c r="B10" s="10" t="s">
        <v>19708</v>
      </c>
      <c r="C10" s="15">
        <f>COUNTA(Tabella1[Denominazione])</f>
        <v>6258</v>
      </c>
      <c r="E10" s="21" t="s">
        <v>83</v>
      </c>
      <c r="F10" s="22">
        <v>541</v>
      </c>
      <c r="H10" s="18" t="s">
        <v>21</v>
      </c>
      <c r="I10" s="20" t="s">
        <v>22</v>
      </c>
      <c r="L10" t="str">
        <v>CAGLI</v>
      </c>
      <c r="M10">
        <f>COUNTIFS(Tabella1[Città],L9)</f>
        <v>15</v>
      </c>
      <c r="N10">
        <v>64</v>
      </c>
    </row>
    <row r="11" spans="2:17" thickBot="1" x14ac:dyDescent="0.35">
      <c r="B11" s="16" t="s">
        <v>19709</v>
      </c>
      <c r="C11" s="17">
        <f>COUNTIFS(Tabella1[Localita],C6)</f>
        <v>158</v>
      </c>
      <c r="E11" s="21" t="s">
        <v>7</v>
      </c>
      <c r="F11" s="22">
        <v>304</v>
      </c>
      <c r="H11" s="18" t="s">
        <v>36</v>
      </c>
      <c r="I11" s="20" t="s">
        <v>55</v>
      </c>
      <c r="L11" t="str">
        <v>CANTIANO</v>
      </c>
      <c r="M11">
        <f>COUNTIFS(Tabella1[Città],L10)</f>
        <v>66</v>
      </c>
      <c r="N11">
        <v>106</v>
      </c>
    </row>
    <row r="12" spans="2:17" ht="14.4" x14ac:dyDescent="0.3">
      <c r="E12" s="21" t="s">
        <v>572</v>
      </c>
      <c r="F12" s="22">
        <v>93</v>
      </c>
      <c r="H12" s="18" t="s">
        <v>36</v>
      </c>
      <c r="I12" s="20" t="s">
        <v>68</v>
      </c>
      <c r="L12" t="str">
        <v>CARPEGNA</v>
      </c>
      <c r="M12">
        <f>COUNTIFS(Tabella1[Città],L11)</f>
        <v>11</v>
      </c>
      <c r="N12">
        <v>118</v>
      </c>
    </row>
    <row r="13" spans="2:17" ht="14.4" x14ac:dyDescent="0.3">
      <c r="E13" s="21" t="s">
        <v>89</v>
      </c>
      <c r="F13" s="22">
        <v>86</v>
      </c>
      <c r="H13" s="18" t="s">
        <v>36</v>
      </c>
      <c r="I13" s="20" t="s">
        <v>37</v>
      </c>
      <c r="L13" t="str">
        <v>CARTOCETO</v>
      </c>
      <c r="M13">
        <f>COUNTIFS(Tabella1[Città],L12)</f>
        <v>17</v>
      </c>
      <c r="N13">
        <v>36</v>
      </c>
    </row>
    <row r="14" spans="2:17" ht="14.4" x14ac:dyDescent="0.3">
      <c r="E14" s="21" t="s">
        <v>191</v>
      </c>
      <c r="F14" s="22">
        <v>82</v>
      </c>
      <c r="H14" s="18" t="s">
        <v>36</v>
      </c>
      <c r="I14" s="20" t="s">
        <v>73</v>
      </c>
      <c r="L14" t="str">
        <v>FANO</v>
      </c>
      <c r="M14">
        <f>COUNTIFS(Tabella1[Città],L13)</f>
        <v>13</v>
      </c>
      <c r="N14">
        <v>120</v>
      </c>
    </row>
    <row r="15" spans="2:17" ht="14.4" x14ac:dyDescent="0.3">
      <c r="E15" s="21" t="s">
        <v>404</v>
      </c>
      <c r="F15" s="22">
        <v>52</v>
      </c>
      <c r="H15" s="18" t="s">
        <v>83</v>
      </c>
      <c r="I15" s="20" t="s">
        <v>84</v>
      </c>
      <c r="L15" t="str">
        <v>FERMIGNANO</v>
      </c>
      <c r="M15">
        <f>COUNTIFS(Tabella1[Città],L14)</f>
        <v>333</v>
      </c>
      <c r="N15">
        <v>88</v>
      </c>
    </row>
    <row r="16" spans="2:17" ht="14.4" x14ac:dyDescent="0.3">
      <c r="E16" s="21" t="s">
        <v>187</v>
      </c>
      <c r="F16" s="22">
        <v>30</v>
      </c>
      <c r="H16" s="18" t="s">
        <v>13</v>
      </c>
      <c r="I16" s="20" t="s">
        <v>95</v>
      </c>
      <c r="L16" t="str">
        <v>FOSSOMBRONE</v>
      </c>
      <c r="M16">
        <f>COUNTIFS(Tabella1[Città],L15)</f>
        <v>21</v>
      </c>
      <c r="N16">
        <v>66</v>
      </c>
    </row>
    <row r="17" spans="5:14" ht="14.4" x14ac:dyDescent="0.3">
      <c r="E17" s="21" t="s">
        <v>6094</v>
      </c>
      <c r="F17" s="22">
        <v>17</v>
      </c>
      <c r="H17" s="18" t="s">
        <v>13</v>
      </c>
      <c r="I17" s="20" t="s">
        <v>81</v>
      </c>
      <c r="L17" t="str">
        <v>FRATTE ROSA</v>
      </c>
      <c r="M17">
        <f>COUNTIFS(Tabella1[Città],L16)</f>
        <v>20</v>
      </c>
      <c r="N17">
        <v>119</v>
      </c>
    </row>
    <row r="18" spans="5:14" ht="14.4" x14ac:dyDescent="0.3">
      <c r="E18" s="21" t="s">
        <v>301</v>
      </c>
      <c r="F18" s="22">
        <v>16</v>
      </c>
      <c r="H18" s="18" t="s">
        <v>13</v>
      </c>
      <c r="I18" s="20" t="s">
        <v>18</v>
      </c>
      <c r="L18" t="str">
        <v>FRONTINO</v>
      </c>
      <c r="M18">
        <f>COUNTIFS(Tabella1[Città],L17)</f>
        <v>4</v>
      </c>
      <c r="N18">
        <v>52</v>
      </c>
    </row>
    <row r="19" spans="5:14" ht="14.4" x14ac:dyDescent="0.3">
      <c r="E19" s="21" t="s">
        <v>1201</v>
      </c>
      <c r="F19" s="22">
        <v>13</v>
      </c>
      <c r="H19" s="18" t="s">
        <v>13</v>
      </c>
      <c r="I19" s="20" t="s">
        <v>66</v>
      </c>
      <c r="L19" t="str">
        <v>FRONTONE</v>
      </c>
      <c r="M19">
        <f>COUNTIFS(Tabella1[Città],L18)</f>
        <v>16</v>
      </c>
      <c r="N19">
        <v>75</v>
      </c>
    </row>
    <row r="20" spans="5:14" ht="14.4" x14ac:dyDescent="0.3">
      <c r="H20" s="18" t="s">
        <v>13</v>
      </c>
      <c r="I20" s="20" t="s">
        <v>98</v>
      </c>
      <c r="L20" t="str">
        <v>GABICCE MARE</v>
      </c>
      <c r="M20">
        <f>COUNTIFS(Tabella1[Città],L19)</f>
        <v>13</v>
      </c>
      <c r="N20">
        <v>112</v>
      </c>
    </row>
    <row r="21" spans="5:14" ht="14.4" x14ac:dyDescent="0.3">
      <c r="H21" s="18" t="s">
        <v>13</v>
      </c>
      <c r="I21" s="20" t="s">
        <v>80</v>
      </c>
      <c r="L21" t="str">
        <v>GRADARA</v>
      </c>
      <c r="M21">
        <f>COUNTIFS(Tabella1[Città],L20)</f>
        <v>178</v>
      </c>
      <c r="N21">
        <v>87</v>
      </c>
    </row>
    <row r="22" spans="5:14" ht="15" customHeight="1" x14ac:dyDescent="0.3">
      <c r="H22" s="19" t="s">
        <v>13</v>
      </c>
      <c r="I22" s="20" t="s">
        <v>14</v>
      </c>
      <c r="L22" t="str">
        <v>ISOLA DEL PIANO</v>
      </c>
      <c r="M22">
        <f>COUNTIFS(Tabella1[Città],L21)</f>
        <v>28</v>
      </c>
      <c r="N22">
        <v>46</v>
      </c>
    </row>
    <row r="23" spans="5:14" ht="15" customHeight="1" x14ac:dyDescent="0.3">
      <c r="H23" s="18" t="s">
        <v>13</v>
      </c>
      <c r="I23" s="20" t="s">
        <v>75</v>
      </c>
      <c r="L23" t="str">
        <v>LUNANO</v>
      </c>
      <c r="M23">
        <f>COUNTIFS(Tabella1[Città],L22)</f>
        <v>6</v>
      </c>
      <c r="N23">
        <v>36</v>
      </c>
    </row>
    <row r="24" spans="5:14" ht="15" customHeight="1" x14ac:dyDescent="0.3">
      <c r="H24" s="18" t="s">
        <v>13</v>
      </c>
      <c r="I24" s="20" t="s">
        <v>27</v>
      </c>
      <c r="L24" t="str">
        <v>MACERATA FELTRIA</v>
      </c>
      <c r="M24">
        <f>COUNTIFS(Tabella1[Città],L23)</f>
        <v>2</v>
      </c>
      <c r="N24">
        <v>32</v>
      </c>
    </row>
    <row r="25" spans="5:14" ht="15" customHeight="1" x14ac:dyDescent="0.3">
      <c r="H25" s="18" t="s">
        <v>89</v>
      </c>
      <c r="I25" s="20" t="s">
        <v>90</v>
      </c>
      <c r="L25" t="str">
        <v>MERCATELLO SUL METAURO</v>
      </c>
      <c r="M25">
        <f>COUNTIFS(Tabella1[Città],L24)</f>
        <v>9</v>
      </c>
      <c r="N25">
        <v>85</v>
      </c>
    </row>
    <row r="26" spans="5:14" ht="15" customHeight="1" x14ac:dyDescent="0.3">
      <c r="H26" s="18" t="s">
        <v>30</v>
      </c>
      <c r="I26" s="20" t="s">
        <v>31</v>
      </c>
      <c r="L26" t="str">
        <v>MERCATINO CONCA</v>
      </c>
      <c r="M26">
        <f>COUNTIFS(Tabella1[Città],L25)</f>
        <v>21</v>
      </c>
      <c r="N26">
        <v>120</v>
      </c>
    </row>
    <row r="27" spans="5:14" ht="15" customHeight="1" x14ac:dyDescent="0.3">
      <c r="H27" s="18" t="s">
        <v>30</v>
      </c>
      <c r="I27" s="20" t="s">
        <v>47</v>
      </c>
      <c r="L27" t="str">
        <v>MOMBAROCCIO</v>
      </c>
      <c r="M27">
        <f>COUNTIFS(Tabella1[Città],L26)</f>
        <v>2</v>
      </c>
      <c r="N27">
        <v>39</v>
      </c>
    </row>
    <row r="28" spans="5:14" ht="15" customHeight="1" x14ac:dyDescent="0.3">
      <c r="H28" s="18" t="s">
        <v>30</v>
      </c>
      <c r="I28" s="20" t="s">
        <v>49</v>
      </c>
      <c r="L28" t="str">
        <v>MONDAVIO</v>
      </c>
      <c r="M28">
        <f>COUNTIFS(Tabella1[Città],L27)</f>
        <v>14</v>
      </c>
      <c r="N28">
        <v>116</v>
      </c>
    </row>
    <row r="29" spans="5:14" ht="15" customHeight="1" x14ac:dyDescent="0.3">
      <c r="H29" s="18" t="s">
        <v>7</v>
      </c>
      <c r="I29" s="20" t="s">
        <v>62</v>
      </c>
      <c r="L29" t="str">
        <v>MONDOLFO</v>
      </c>
      <c r="M29">
        <f>COUNTIFS(Tabella1[Città],L28)</f>
        <v>13</v>
      </c>
      <c r="N29">
        <v>64</v>
      </c>
    </row>
    <row r="30" spans="5:14" ht="15" customHeight="1" x14ac:dyDescent="0.3">
      <c r="L30" t="str">
        <v>MONTECALVO IN FOGLIA</v>
      </c>
      <c r="M30">
        <f>COUNTIFS(Tabella1[Città],L29)</f>
        <v>84</v>
      </c>
      <c r="N30">
        <v>46</v>
      </c>
    </row>
    <row r="31" spans="5:14" ht="15" customHeight="1" x14ac:dyDescent="0.3">
      <c r="L31" t="str">
        <v>MONTE CERIGNONE</v>
      </c>
      <c r="M31">
        <f>COUNTIFS(Tabella1[Città],L30)</f>
        <v>7</v>
      </c>
      <c r="N31">
        <v>78</v>
      </c>
    </row>
    <row r="32" spans="5:14" ht="15" customHeight="1" x14ac:dyDescent="0.3">
      <c r="L32" t="str">
        <v>MONTECICCARDO</v>
      </c>
      <c r="M32">
        <f>COUNTIFS(Tabella1[Città],L31)</f>
        <v>6</v>
      </c>
      <c r="N32">
        <v>48</v>
      </c>
    </row>
    <row r="33" spans="12:14" ht="15" customHeight="1" x14ac:dyDescent="0.3">
      <c r="L33" t="str">
        <v>MONTECOPIOLO</v>
      </c>
      <c r="M33">
        <f>COUNTIFS(Tabella1[Città],L32)</f>
        <v>8</v>
      </c>
      <c r="N33">
        <v>51</v>
      </c>
    </row>
    <row r="34" spans="12:14" ht="15" customHeight="1" x14ac:dyDescent="0.3">
      <c r="L34" t="str">
        <v>MONTEFELCINO</v>
      </c>
      <c r="M34">
        <f>COUNTIFS(Tabella1[Città],L33)</f>
        <v>10</v>
      </c>
      <c r="N34">
        <v>61</v>
      </c>
    </row>
    <row r="35" spans="12:14" ht="15" customHeight="1" x14ac:dyDescent="0.3">
      <c r="L35" t="str">
        <v>MONTE GRIMANO TERME</v>
      </c>
      <c r="M35">
        <f>COUNTIFS(Tabella1[Città],L34)</f>
        <v>8</v>
      </c>
      <c r="N35">
        <v>107</v>
      </c>
    </row>
    <row r="36" spans="12:14" ht="15" customHeight="1" x14ac:dyDescent="0.3">
      <c r="L36" t="str">
        <v>MONTELABBATE</v>
      </c>
      <c r="M36">
        <f>COUNTIFS(Tabella1[Città],L35)</f>
        <v>9</v>
      </c>
      <c r="N36">
        <v>49</v>
      </c>
    </row>
    <row r="37" spans="12:14" ht="15" customHeight="1" x14ac:dyDescent="0.3">
      <c r="L37" t="str">
        <v>MONTEMAGGIORE AL METAURO</v>
      </c>
      <c r="M37">
        <f>COUNTIFS(Tabella1[Città],L36)</f>
        <v>6</v>
      </c>
      <c r="N37">
        <v>120</v>
      </c>
    </row>
    <row r="38" spans="12:14" ht="15" customHeight="1" x14ac:dyDescent="0.3">
      <c r="L38" t="str">
        <v>MONTE PORZIO</v>
      </c>
      <c r="M38">
        <f>COUNTIFS(Tabella1[Città],L37)</f>
        <v>11</v>
      </c>
      <c r="N38">
        <v>119</v>
      </c>
    </row>
    <row r="39" spans="12:14" ht="15" customHeight="1" x14ac:dyDescent="0.3">
      <c r="L39" t="str">
        <v>ORCIANO DI PESARO</v>
      </c>
      <c r="M39">
        <f>COUNTIFS(Tabella1[Città],L38)</f>
        <v>9</v>
      </c>
      <c r="N39">
        <v>85</v>
      </c>
    </row>
    <row r="40" spans="12:14" ht="15" customHeight="1" x14ac:dyDescent="0.3">
      <c r="L40" t="str">
        <v>PEGLIO</v>
      </c>
      <c r="M40">
        <f>COUNTIFS(Tabella1[Città],L39)</f>
        <v>7</v>
      </c>
      <c r="N40">
        <v>109</v>
      </c>
    </row>
    <row r="41" spans="12:14" ht="15" customHeight="1" x14ac:dyDescent="0.3">
      <c r="L41" t="str">
        <v>PERGOLA</v>
      </c>
      <c r="M41">
        <f>COUNTIFS(Tabella1[Città],L40)</f>
        <v>7</v>
      </c>
      <c r="N41">
        <v>35</v>
      </c>
    </row>
    <row r="42" spans="12:14" ht="15" customHeight="1" x14ac:dyDescent="0.3">
      <c r="L42" t="str">
        <v>PESARO</v>
      </c>
      <c r="M42">
        <f>COUNTIFS(Tabella1[Città],L41)</f>
        <v>33</v>
      </c>
      <c r="N42">
        <v>86</v>
      </c>
    </row>
    <row r="43" spans="12:14" ht="15" customHeight="1" x14ac:dyDescent="0.3">
      <c r="L43" t="str">
        <v>PETRIANO</v>
      </c>
      <c r="M43">
        <f>COUNTIFS(Tabella1[Città],L42)</f>
        <v>230</v>
      </c>
      <c r="N43">
        <v>78</v>
      </c>
    </row>
    <row r="44" spans="12:14" ht="15" customHeight="1" x14ac:dyDescent="0.3">
      <c r="L44" t="str">
        <v>PIAGGE</v>
      </c>
      <c r="M44">
        <f>COUNTIFS(Tabella1[Città],L43)</f>
        <v>3</v>
      </c>
      <c r="N44">
        <v>39</v>
      </c>
    </row>
    <row r="45" spans="12:14" ht="15" customHeight="1" x14ac:dyDescent="0.3">
      <c r="L45" t="str">
        <v>PIANDIMELETO</v>
      </c>
      <c r="M45">
        <f>COUNTIFS(Tabella1[Città],L44)</f>
        <v>2</v>
      </c>
      <c r="N45">
        <v>58</v>
      </c>
    </row>
    <row r="46" spans="12:14" ht="15" customHeight="1" x14ac:dyDescent="0.3">
      <c r="L46" t="str">
        <v>PIETRARUBBIA</v>
      </c>
      <c r="M46">
        <f>COUNTIFS(Tabella1[Città],L45)</f>
        <v>6</v>
      </c>
      <c r="N46">
        <v>119</v>
      </c>
    </row>
    <row r="47" spans="12:14" ht="15" customHeight="1" x14ac:dyDescent="0.3">
      <c r="L47" t="str">
        <v>PIOBBICO</v>
      </c>
      <c r="M47">
        <f>COUNTIFS(Tabella1[Città],L46)</f>
        <v>8</v>
      </c>
      <c r="N47">
        <v>117</v>
      </c>
    </row>
    <row r="48" spans="12:14" ht="15" customHeight="1" x14ac:dyDescent="0.3">
      <c r="L48" t="str">
        <v>SALTARA</v>
      </c>
      <c r="M48">
        <f>COUNTIFS(Tabella1[Città],L47)</f>
        <v>19</v>
      </c>
      <c r="N48">
        <v>56</v>
      </c>
    </row>
    <row r="49" spans="12:14" ht="15" customHeight="1" x14ac:dyDescent="0.3">
      <c r="L49" t="str">
        <v>SAN COSTANZO</v>
      </c>
      <c r="M49">
        <f>COUNTIFS(Tabella1[Città],L48)</f>
        <v>8</v>
      </c>
      <c r="N49">
        <v>78</v>
      </c>
    </row>
    <row r="50" spans="12:14" ht="15" customHeight="1" x14ac:dyDescent="0.3">
      <c r="L50" t="str">
        <v>SAN GIORGIO DI PESARO</v>
      </c>
      <c r="M50">
        <f>COUNTIFS(Tabella1[Città],L49)</f>
        <v>19</v>
      </c>
      <c r="N50">
        <v>71</v>
      </c>
    </row>
    <row r="51" spans="12:14" ht="15" customHeight="1" x14ac:dyDescent="0.3">
      <c r="L51" t="str">
        <v>SAN LORENZO IN CAMPO</v>
      </c>
      <c r="M51">
        <f>COUNTIFS(Tabella1[Città],L50)</f>
        <v>5</v>
      </c>
      <c r="N51">
        <v>95</v>
      </c>
    </row>
    <row r="52" spans="12:14" ht="15" customHeight="1" x14ac:dyDescent="0.3">
      <c r="L52" t="str">
        <v>SANT'ANGELO IN VADO</v>
      </c>
      <c r="M52">
        <f>COUNTIFS(Tabella1[Città],L51)</f>
        <v>12</v>
      </c>
      <c r="N52">
        <v>33</v>
      </c>
    </row>
    <row r="53" spans="12:14" ht="15" customHeight="1" x14ac:dyDescent="0.3">
      <c r="L53" t="str">
        <v>SANT'IPPOLITO</v>
      </c>
      <c r="M53">
        <f>COUNTIFS(Tabella1[Città],L52)</f>
        <v>18</v>
      </c>
      <c r="N53">
        <v>56</v>
      </c>
    </row>
    <row r="54" spans="12:14" ht="15" customHeight="1" x14ac:dyDescent="0.3">
      <c r="L54" t="str">
        <v>SASSOCORVARO</v>
      </c>
      <c r="M54">
        <f>COUNTIFS(Tabella1[Città],L53)</f>
        <v>8</v>
      </c>
      <c r="N54">
        <v>38</v>
      </c>
    </row>
    <row r="55" spans="12:14" ht="15" customHeight="1" x14ac:dyDescent="0.3">
      <c r="L55" t="str">
        <v>SASSOFELTRIO</v>
      </c>
      <c r="M55">
        <f>COUNTIFS(Tabella1[Città],L54)</f>
        <v>10</v>
      </c>
      <c r="N55">
        <v>90</v>
      </c>
    </row>
    <row r="56" spans="12:14" ht="15" customHeight="1" x14ac:dyDescent="0.3">
      <c r="L56" t="str">
        <v>SERRA SANT'ABBONDIO</v>
      </c>
      <c r="M56">
        <f>COUNTIFS(Tabella1[Città],L55)</f>
        <v>6</v>
      </c>
      <c r="N56">
        <v>66</v>
      </c>
    </row>
    <row r="57" spans="12:14" ht="15" customHeight="1" x14ac:dyDescent="0.3">
      <c r="L57" t="str">
        <v>SERRUNGARINA</v>
      </c>
      <c r="M57">
        <f>COUNTIFS(Tabella1[Città],L56)</f>
        <v>9</v>
      </c>
      <c r="N57">
        <v>34</v>
      </c>
    </row>
    <row r="58" spans="12:14" ht="15" customHeight="1" x14ac:dyDescent="0.3">
      <c r="L58" t="str">
        <v>TAVOLETO</v>
      </c>
      <c r="M58">
        <f>COUNTIFS(Tabella1[Città],L57)</f>
        <v>15</v>
      </c>
      <c r="N58">
        <v>103</v>
      </c>
    </row>
    <row r="59" spans="12:14" ht="15" customHeight="1" x14ac:dyDescent="0.3">
      <c r="L59" t="str">
        <v>TAVULLIA</v>
      </c>
      <c r="M59">
        <f>COUNTIFS(Tabella1[Città],L58)</f>
        <v>7</v>
      </c>
      <c r="N59">
        <v>120</v>
      </c>
    </row>
    <row r="60" spans="12:14" ht="15" customHeight="1" x14ac:dyDescent="0.3">
      <c r="L60" t="str">
        <v>URBANIA</v>
      </c>
      <c r="M60">
        <f>COUNTIFS(Tabella1[Città],L59)</f>
        <v>20</v>
      </c>
      <c r="N60">
        <v>72</v>
      </c>
    </row>
    <row r="61" spans="12:14" ht="15" customHeight="1" x14ac:dyDescent="0.3">
      <c r="L61" t="str">
        <v>VALLEFOGLIA</v>
      </c>
      <c r="M61">
        <f>COUNTIFS(Tabella1[Città],L60)</f>
        <v>41</v>
      </c>
      <c r="N61">
        <v>39</v>
      </c>
    </row>
    <row r="62" spans="12:14" ht="15" customHeight="1" x14ac:dyDescent="0.3">
      <c r="L62" t="str">
        <v>AGUGLIANO</v>
      </c>
      <c r="M62">
        <f>COUNTIFS(Tabella1[Città],L61)</f>
        <v>16</v>
      </c>
      <c r="N62">
        <v>81</v>
      </c>
    </row>
    <row r="63" spans="12:14" ht="15" customHeight="1" x14ac:dyDescent="0.3">
      <c r="L63" t="str">
        <v>ANCONA</v>
      </c>
      <c r="M63">
        <f>COUNTIFS(Tabella1[Città],L62)</f>
        <v>5</v>
      </c>
      <c r="N63">
        <v>34</v>
      </c>
    </row>
    <row r="64" spans="12:14" ht="15" customHeight="1" x14ac:dyDescent="0.3">
      <c r="L64" t="str">
        <v>ARCEVIA</v>
      </c>
      <c r="M64">
        <f>COUNTIFS(Tabella1[Città],L63)</f>
        <v>184</v>
      </c>
      <c r="N64">
        <v>49</v>
      </c>
    </row>
    <row r="65" spans="12:14" ht="15" customHeight="1" x14ac:dyDescent="0.3">
      <c r="L65" t="str">
        <v>BELVEDERE OSTRENSE</v>
      </c>
      <c r="M65">
        <f>COUNTIFS(Tabella1[Città],L64)</f>
        <v>63</v>
      </c>
      <c r="N65">
        <v>52</v>
      </c>
    </row>
    <row r="66" spans="12:14" ht="15" customHeight="1" x14ac:dyDescent="0.3">
      <c r="L66" t="str">
        <v>CAMERANO</v>
      </c>
      <c r="M66">
        <f>COUNTIFS(Tabella1[Città],L65)</f>
        <v>8</v>
      </c>
      <c r="N66">
        <v>43</v>
      </c>
    </row>
    <row r="67" spans="12:14" ht="15" customHeight="1" x14ac:dyDescent="0.3">
      <c r="L67" t="str">
        <v>CAMERATA PICENA</v>
      </c>
      <c r="M67">
        <f>COUNTIFS(Tabella1[Città],L66)</f>
        <v>17</v>
      </c>
      <c r="N67">
        <v>55</v>
      </c>
    </row>
    <row r="68" spans="12:14" ht="15" customHeight="1" x14ac:dyDescent="0.3">
      <c r="L68" t="str">
        <v>CASTELBELLINO</v>
      </c>
      <c r="M68">
        <f>COUNTIFS(Tabella1[Città],L67)</f>
        <v>4</v>
      </c>
      <c r="N68">
        <v>108</v>
      </c>
    </row>
    <row r="69" spans="12:14" ht="15" customHeight="1" x14ac:dyDescent="0.3">
      <c r="L69" t="str">
        <v>CASTELFIDARDO</v>
      </c>
      <c r="M69">
        <f>COUNTIFS(Tabella1[Città],L68)</f>
        <v>4</v>
      </c>
      <c r="N69">
        <v>37</v>
      </c>
    </row>
    <row r="70" spans="12:14" ht="15" customHeight="1" x14ac:dyDescent="0.3">
      <c r="L70" t="str">
        <v>CASTELLEONE DI SUASA</v>
      </c>
      <c r="M70">
        <f>COUNTIFS(Tabella1[Città],L69)</f>
        <v>24</v>
      </c>
      <c r="N70">
        <v>65</v>
      </c>
    </row>
    <row r="71" spans="12:14" ht="15" customHeight="1" x14ac:dyDescent="0.3">
      <c r="L71" t="str">
        <v>CASTELPLANIO</v>
      </c>
      <c r="M71">
        <f>COUNTIFS(Tabella1[Città],L70)</f>
        <v>3</v>
      </c>
      <c r="N71">
        <v>78</v>
      </c>
    </row>
    <row r="72" spans="12:14" ht="15" customHeight="1" x14ac:dyDescent="0.3">
      <c r="L72" t="str">
        <v>CERRETO D'ESI</v>
      </c>
      <c r="M72">
        <f>COUNTIFS(Tabella1[Città],L71)</f>
        <v>8</v>
      </c>
      <c r="N72">
        <v>115</v>
      </c>
    </row>
    <row r="73" spans="12:14" ht="15" customHeight="1" x14ac:dyDescent="0.3">
      <c r="L73" t="str">
        <v>CHIARAVALLE</v>
      </c>
      <c r="M73">
        <f>COUNTIFS(Tabella1[Città],L72)</f>
        <v>6</v>
      </c>
      <c r="N73">
        <v>52</v>
      </c>
    </row>
    <row r="74" spans="12:14" ht="15" customHeight="1" x14ac:dyDescent="0.3">
      <c r="L74" t="str">
        <v>CORINALDO</v>
      </c>
      <c r="M74">
        <f>COUNTIFS(Tabella1[Città],L73)</f>
        <v>5</v>
      </c>
      <c r="N74">
        <v>75</v>
      </c>
    </row>
    <row r="75" spans="12:14" ht="15" customHeight="1" x14ac:dyDescent="0.3">
      <c r="L75" t="str">
        <v>CUPRAMONTANA</v>
      </c>
      <c r="M75">
        <f>COUNTIFS(Tabella1[Città],L74)</f>
        <v>35</v>
      </c>
      <c r="N75">
        <v>39</v>
      </c>
    </row>
    <row r="76" spans="12:14" ht="15" customHeight="1" x14ac:dyDescent="0.3">
      <c r="L76" t="str">
        <v>FABRIANO</v>
      </c>
      <c r="M76">
        <f>COUNTIFS(Tabella1[Città],L75)</f>
        <v>40</v>
      </c>
      <c r="N76">
        <v>40</v>
      </c>
    </row>
    <row r="77" spans="12:14" ht="15" customHeight="1" x14ac:dyDescent="0.3">
      <c r="L77" t="str">
        <v>FALCONARA MARITTIMA</v>
      </c>
      <c r="M77">
        <f>COUNTIFS(Tabella1[Città],L76)</f>
        <v>70</v>
      </c>
      <c r="N77">
        <v>34</v>
      </c>
    </row>
    <row r="78" spans="12:14" ht="15" customHeight="1" x14ac:dyDescent="0.3">
      <c r="L78" t="str">
        <v>FILOTTRANO</v>
      </c>
      <c r="M78">
        <f>COUNTIFS(Tabella1[Città],L77)</f>
        <v>49</v>
      </c>
      <c r="N78">
        <v>60</v>
      </c>
    </row>
    <row r="79" spans="12:14" ht="15" customHeight="1" x14ac:dyDescent="0.3">
      <c r="L79" t="str">
        <v>GENGA</v>
      </c>
      <c r="M79">
        <f>COUNTIFS(Tabella1[Città],L78)</f>
        <v>10</v>
      </c>
      <c r="N79">
        <v>93</v>
      </c>
    </row>
    <row r="80" spans="12:14" ht="15" customHeight="1" x14ac:dyDescent="0.3">
      <c r="L80" t="str">
        <v>JESI</v>
      </c>
      <c r="M80">
        <f>COUNTIFS(Tabella1[Città],L79)</f>
        <v>16</v>
      </c>
      <c r="N80">
        <v>120</v>
      </c>
    </row>
    <row r="81" spans="12:14" ht="15" customHeight="1" x14ac:dyDescent="0.3">
      <c r="L81" t="str">
        <v>LORETO</v>
      </c>
      <c r="M81">
        <f>COUNTIFS(Tabella1[Città],L80)</f>
        <v>37</v>
      </c>
      <c r="N81">
        <v>81</v>
      </c>
    </row>
    <row r="82" spans="12:14" ht="15" customHeight="1" x14ac:dyDescent="0.3">
      <c r="L82" t="str">
        <v>MAIOLATI SPONTINI</v>
      </c>
      <c r="M82">
        <f>COUNTIFS(Tabella1[Città],L81)</f>
        <v>55</v>
      </c>
      <c r="N82">
        <v>33</v>
      </c>
    </row>
    <row r="83" spans="12:14" ht="15" customHeight="1" x14ac:dyDescent="0.3">
      <c r="L83" t="str">
        <v>MERGO</v>
      </c>
      <c r="M83">
        <f>COUNTIFS(Tabella1[Città],L82)</f>
        <v>11</v>
      </c>
      <c r="N83">
        <v>73</v>
      </c>
    </row>
    <row r="84" spans="12:14" ht="15" customHeight="1" x14ac:dyDescent="0.3">
      <c r="L84" t="str">
        <v>MONSANO</v>
      </c>
      <c r="M84">
        <f>COUNTIFS(Tabella1[Città],L83)</f>
        <v>14</v>
      </c>
      <c r="N84">
        <v>41</v>
      </c>
    </row>
    <row r="85" spans="12:14" ht="15" customHeight="1" x14ac:dyDescent="0.3">
      <c r="L85" t="str">
        <v>MONTECAROTTO</v>
      </c>
      <c r="M85">
        <f>COUNTIFS(Tabella1[Città],L84)</f>
        <v>5</v>
      </c>
      <c r="N85">
        <v>58</v>
      </c>
    </row>
    <row r="86" spans="12:14" ht="15" customHeight="1" x14ac:dyDescent="0.3">
      <c r="L86" t="str">
        <v>MONTEMARCIANO</v>
      </c>
      <c r="M86">
        <f>COUNTIFS(Tabella1[Città],L85)</f>
        <v>11</v>
      </c>
      <c r="N86">
        <v>37</v>
      </c>
    </row>
    <row r="87" spans="12:14" ht="15" customHeight="1" x14ac:dyDescent="0.3">
      <c r="L87" t="str">
        <v>MONTE ROBERTO</v>
      </c>
      <c r="M87">
        <f>COUNTIFS(Tabella1[Città],L86)</f>
        <v>34</v>
      </c>
      <c r="N87">
        <v>68</v>
      </c>
    </row>
    <row r="88" spans="12:14" ht="15" customHeight="1" x14ac:dyDescent="0.3">
      <c r="L88" t="str">
        <v>MONTE SAN VITO</v>
      </c>
      <c r="M88">
        <f>COUNTIFS(Tabella1[Città],L87)</f>
        <v>3</v>
      </c>
      <c r="N88">
        <v>74</v>
      </c>
    </row>
    <row r="89" spans="12:14" ht="15" customHeight="1" x14ac:dyDescent="0.3">
      <c r="L89" t="str">
        <v>MORRO D'ALBA</v>
      </c>
      <c r="M89">
        <f>COUNTIFS(Tabella1[Città],L88)</f>
        <v>7</v>
      </c>
      <c r="N89">
        <v>116</v>
      </c>
    </row>
    <row r="90" spans="12:14" ht="15" customHeight="1" x14ac:dyDescent="0.3">
      <c r="L90" t="str">
        <v>NUMANA</v>
      </c>
      <c r="M90">
        <f>COUNTIFS(Tabella1[Città],L89)</f>
        <v>11</v>
      </c>
      <c r="N90">
        <v>87</v>
      </c>
    </row>
    <row r="91" spans="12:14" ht="15" customHeight="1" x14ac:dyDescent="0.3">
      <c r="L91" t="str">
        <v>OFFAGNA</v>
      </c>
      <c r="M91">
        <f>COUNTIFS(Tabella1[Città],L90)</f>
        <v>173</v>
      </c>
      <c r="N91">
        <v>65</v>
      </c>
    </row>
    <row r="92" spans="12:14" ht="15" customHeight="1" x14ac:dyDescent="0.3">
      <c r="L92" t="str">
        <v>OSIMO</v>
      </c>
      <c r="M92">
        <f>COUNTIFS(Tabella1[Città],L91)</f>
        <v>12</v>
      </c>
      <c r="N92">
        <v>32</v>
      </c>
    </row>
    <row r="93" spans="12:14" ht="15" customHeight="1" x14ac:dyDescent="0.3">
      <c r="L93" t="str">
        <v>OSTRA</v>
      </c>
      <c r="M93">
        <f>COUNTIFS(Tabella1[Città],L92)</f>
        <v>42</v>
      </c>
      <c r="N93">
        <v>101</v>
      </c>
    </row>
    <row r="94" spans="12:14" ht="15" customHeight="1" x14ac:dyDescent="0.3">
      <c r="L94" t="str">
        <v>OSTRA VETERE</v>
      </c>
      <c r="M94">
        <f>COUNTIFS(Tabella1[Città],L93)</f>
        <v>21</v>
      </c>
      <c r="N94">
        <v>59</v>
      </c>
    </row>
    <row r="95" spans="12:14" ht="15" customHeight="1" x14ac:dyDescent="0.3">
      <c r="L95" t="str">
        <v>POGGIO SAN MARCELLO</v>
      </c>
      <c r="M95">
        <f>COUNTIFS(Tabella1[Città],L94)</f>
        <v>10</v>
      </c>
      <c r="N95">
        <v>38</v>
      </c>
    </row>
    <row r="96" spans="12:14" ht="15" customHeight="1" x14ac:dyDescent="0.3">
      <c r="L96" t="str">
        <v>POLVERIGI</v>
      </c>
      <c r="M96">
        <f>COUNTIFS(Tabella1[Città],L95)</f>
        <v>3</v>
      </c>
      <c r="N96">
        <v>119</v>
      </c>
    </row>
    <row r="97" spans="12:14" ht="15" customHeight="1" x14ac:dyDescent="0.3">
      <c r="L97" t="str">
        <v>ROSORA</v>
      </c>
      <c r="M97">
        <f>COUNTIFS(Tabella1[Città],L96)</f>
        <v>8</v>
      </c>
      <c r="N97">
        <v>79</v>
      </c>
    </row>
    <row r="98" spans="12:14" ht="15" customHeight="1" x14ac:dyDescent="0.3">
      <c r="L98" t="str">
        <v>SAN MARCELLO</v>
      </c>
      <c r="M98">
        <f>COUNTIFS(Tabella1[Città],L97)</f>
        <v>11</v>
      </c>
      <c r="N98">
        <v>61</v>
      </c>
    </row>
    <row r="99" spans="12:14" ht="15" customHeight="1" x14ac:dyDescent="0.3">
      <c r="L99" t="str">
        <v>SAN PAOLO DI JESI</v>
      </c>
      <c r="M99">
        <f>COUNTIFS(Tabella1[Città],L98)</f>
        <v>8</v>
      </c>
      <c r="N99">
        <v>57</v>
      </c>
    </row>
    <row r="100" spans="12:14" ht="15" customHeight="1" x14ac:dyDescent="0.3">
      <c r="L100" t="str">
        <v>SANTA MARIA NUOVA</v>
      </c>
      <c r="M100">
        <f>COUNTIFS(Tabella1[Città],L99)</f>
        <v>1</v>
      </c>
      <c r="N100">
        <v>75</v>
      </c>
    </row>
    <row r="101" spans="12:14" ht="15" customHeight="1" x14ac:dyDescent="0.3">
      <c r="L101" t="str">
        <v>SASSOFERRATO</v>
      </c>
      <c r="M101">
        <f>COUNTIFS(Tabella1[Città],L100)</f>
        <v>5</v>
      </c>
      <c r="N101">
        <v>54</v>
      </c>
    </row>
    <row r="102" spans="12:14" ht="15" customHeight="1" x14ac:dyDescent="0.3">
      <c r="L102" t="str">
        <v>SENIGALLIA</v>
      </c>
      <c r="M102">
        <f>COUNTIFS(Tabella1[Città],L101)</f>
        <v>28</v>
      </c>
      <c r="N102">
        <v>59</v>
      </c>
    </row>
    <row r="103" spans="12:14" ht="15" customHeight="1" x14ac:dyDescent="0.3">
      <c r="L103" t="str">
        <v>SERRA DE' CONTI</v>
      </c>
      <c r="M103">
        <f>COUNTIFS(Tabella1[Città],L102)</f>
        <v>420</v>
      </c>
      <c r="N103">
        <v>54</v>
      </c>
    </row>
    <row r="104" spans="12:14" ht="15" customHeight="1" x14ac:dyDescent="0.3">
      <c r="L104" t="str">
        <v>SERRA SAN QUIRICO</v>
      </c>
      <c r="M104">
        <f>COUNTIFS(Tabella1[Città],L103)</f>
        <v>13</v>
      </c>
      <c r="N104">
        <v>51</v>
      </c>
    </row>
    <row r="105" spans="12:14" ht="15" customHeight="1" x14ac:dyDescent="0.3">
      <c r="L105" t="str">
        <v>SIROLO</v>
      </c>
      <c r="M105">
        <f>COUNTIFS(Tabella1[Città],L104)</f>
        <v>25</v>
      </c>
      <c r="N105">
        <v>50</v>
      </c>
    </row>
    <row r="106" spans="12:14" ht="15" customHeight="1" x14ac:dyDescent="0.3">
      <c r="L106" t="str">
        <v>STAFFOLO</v>
      </c>
      <c r="M106">
        <f>COUNTIFS(Tabella1[Città],L105)</f>
        <v>85</v>
      </c>
      <c r="N106">
        <v>49</v>
      </c>
    </row>
    <row r="107" spans="12:14" ht="15" customHeight="1" x14ac:dyDescent="0.3">
      <c r="L107" t="str">
        <v>TRECASTELLI</v>
      </c>
      <c r="M107">
        <f>COUNTIFS(Tabella1[Città],L106)</f>
        <v>9</v>
      </c>
      <c r="N107">
        <v>115</v>
      </c>
    </row>
    <row r="108" spans="12:14" ht="15" customHeight="1" x14ac:dyDescent="0.3">
      <c r="L108" t="str">
        <v>APIRO</v>
      </c>
      <c r="M108">
        <f>COUNTIFS(Tabella1[Città],L107)</f>
        <v>17</v>
      </c>
      <c r="N108">
        <v>100</v>
      </c>
    </row>
    <row r="109" spans="12:14" ht="15" customHeight="1" x14ac:dyDescent="0.3">
      <c r="L109" t="str">
        <v>APPIGNANO</v>
      </c>
      <c r="M109">
        <f>COUNTIFS(Tabella1[Città],L108)</f>
        <v>10</v>
      </c>
      <c r="N109">
        <v>50</v>
      </c>
    </row>
    <row r="110" spans="12:14" ht="15" customHeight="1" x14ac:dyDescent="0.3">
      <c r="L110" t="str">
        <v>BELFORTE DEL CHIENTI</v>
      </c>
      <c r="M110">
        <f>COUNTIFS(Tabella1[Città],L109)</f>
        <v>7</v>
      </c>
      <c r="N110">
        <v>44</v>
      </c>
    </row>
    <row r="111" spans="12:14" ht="15" customHeight="1" x14ac:dyDescent="0.3">
      <c r="L111" t="str">
        <v>BOLOGNOLA</v>
      </c>
      <c r="M111">
        <f>COUNTIFS(Tabella1[Città],L110)</f>
        <v>10</v>
      </c>
      <c r="N111">
        <v>42</v>
      </c>
    </row>
    <row r="112" spans="12:14" ht="15" customHeight="1" x14ac:dyDescent="0.3">
      <c r="L112" t="str">
        <v>CALDAROLA</v>
      </c>
      <c r="M112">
        <f>COUNTIFS(Tabella1[Città],L111)</f>
        <v>4</v>
      </c>
      <c r="N112">
        <v>33</v>
      </c>
    </row>
    <row r="113" spans="12:14" ht="15" customHeight="1" x14ac:dyDescent="0.3">
      <c r="L113" t="str">
        <v>CAMERINO</v>
      </c>
      <c r="M113">
        <f>COUNTIFS(Tabella1[Città],L112)</f>
        <v>11</v>
      </c>
      <c r="N113">
        <v>88</v>
      </c>
    </row>
    <row r="114" spans="12:14" ht="15" customHeight="1" x14ac:dyDescent="0.3">
      <c r="L114" t="str">
        <v>CAMPOROTONDO DI FIASTRONE</v>
      </c>
      <c r="M114">
        <f>COUNTIFS(Tabella1[Città],L113)</f>
        <v>52</v>
      </c>
      <c r="N114">
        <v>116</v>
      </c>
    </row>
    <row r="115" spans="12:14" ht="15" customHeight="1" x14ac:dyDescent="0.3">
      <c r="L115" t="str">
        <v>CASTELRAIMONDO</v>
      </c>
      <c r="M115">
        <f>COUNTIFS(Tabella1[Città],L114)</f>
        <v>6</v>
      </c>
      <c r="N115">
        <v>32</v>
      </c>
    </row>
    <row r="116" spans="12:14" ht="15" customHeight="1" x14ac:dyDescent="0.3">
      <c r="L116" t="str">
        <v>CASTELSANTANGELO SUL NERA</v>
      </c>
      <c r="M116">
        <f>COUNTIFS(Tabella1[Città],L115)</f>
        <v>15</v>
      </c>
      <c r="N116">
        <v>31</v>
      </c>
    </row>
    <row r="117" spans="12:14" ht="15" customHeight="1" x14ac:dyDescent="0.3">
      <c r="L117" t="str">
        <v>CESSAPALOMBO</v>
      </c>
      <c r="M117">
        <f>COUNTIFS(Tabella1[Città],L116)</f>
        <v>12</v>
      </c>
      <c r="N117">
        <v>76</v>
      </c>
    </row>
    <row r="118" spans="12:14" ht="15" customHeight="1" x14ac:dyDescent="0.3">
      <c r="L118" t="str">
        <v>CINGOLI</v>
      </c>
      <c r="M118">
        <f>COUNTIFS(Tabella1[Città],L117)</f>
        <v>12</v>
      </c>
      <c r="N118">
        <v>76</v>
      </c>
    </row>
    <row r="119" spans="12:14" ht="15" customHeight="1" x14ac:dyDescent="0.3">
      <c r="L119" t="str">
        <v>CIVITANOVA MARCHE</v>
      </c>
      <c r="M119">
        <f>COUNTIFS(Tabella1[Città],L118)</f>
        <v>54</v>
      </c>
      <c r="N119">
        <v>40</v>
      </c>
    </row>
    <row r="120" spans="12:14" ht="15" customHeight="1" x14ac:dyDescent="0.3">
      <c r="L120" t="str">
        <v>COLMURANO</v>
      </c>
      <c r="M120">
        <f>COUNTIFS(Tabella1[Città],L119)</f>
        <v>156</v>
      </c>
      <c r="N120">
        <v>103</v>
      </c>
    </row>
    <row r="121" spans="12:14" ht="15" customHeight="1" x14ac:dyDescent="0.3">
      <c r="L121" t="str">
        <v>CORRIDONIA</v>
      </c>
      <c r="M121">
        <f>COUNTIFS(Tabella1[Città],L120)</f>
        <v>4</v>
      </c>
      <c r="N121">
        <v>72</v>
      </c>
    </row>
    <row r="122" spans="12:14" ht="15" customHeight="1" x14ac:dyDescent="0.3">
      <c r="L122" t="str">
        <v>ESANATOGLIA</v>
      </c>
      <c r="M122">
        <f>COUNTIFS(Tabella1[Città],L121)</f>
        <v>11</v>
      </c>
      <c r="N122">
        <v>91</v>
      </c>
    </row>
    <row r="123" spans="12:14" ht="15" customHeight="1" x14ac:dyDescent="0.3">
      <c r="L123" t="str">
        <v>FIASTRA</v>
      </c>
      <c r="M123">
        <f>COUNTIFS(Tabella1[Città],L122)</f>
        <v>7</v>
      </c>
      <c r="N123">
        <v>32</v>
      </c>
    </row>
    <row r="124" spans="12:14" ht="15" customHeight="1" x14ac:dyDescent="0.3">
      <c r="L124" t="str">
        <v>FIORDIMONTE</v>
      </c>
      <c r="M124">
        <f>COUNTIFS(Tabella1[Città],L123)</f>
        <v>18</v>
      </c>
      <c r="N124">
        <v>118</v>
      </c>
    </row>
    <row r="125" spans="12:14" ht="15" customHeight="1" x14ac:dyDescent="0.3">
      <c r="L125" t="str">
        <v>FIUMINATA</v>
      </c>
      <c r="M125">
        <f>COUNTIFS(Tabella1[Città],L124)</f>
        <v>1</v>
      </c>
      <c r="N125">
        <v>97</v>
      </c>
    </row>
    <row r="126" spans="12:14" ht="15" customHeight="1" x14ac:dyDescent="0.3">
      <c r="L126" t="str">
        <v>GAGLIOLE</v>
      </c>
      <c r="M126">
        <f>COUNTIFS(Tabella1[Città],L125)</f>
        <v>4</v>
      </c>
      <c r="N126">
        <v>30</v>
      </c>
    </row>
    <row r="127" spans="12:14" ht="15" customHeight="1" x14ac:dyDescent="0.3">
      <c r="L127" t="str">
        <v>GUALDO</v>
      </c>
      <c r="M127">
        <f>COUNTIFS(Tabella1[Città],L126)</f>
        <v>5</v>
      </c>
      <c r="N127">
        <v>106</v>
      </c>
    </row>
    <row r="128" spans="12:14" ht="15" customHeight="1" x14ac:dyDescent="0.3">
      <c r="L128" t="str">
        <v>LORO PICENO</v>
      </c>
      <c r="M128">
        <f>COUNTIFS(Tabella1[Città],L127)</f>
        <v>32</v>
      </c>
      <c r="N128">
        <v>108</v>
      </c>
    </row>
    <row r="129" spans="12:14" ht="15" customHeight="1" x14ac:dyDescent="0.3">
      <c r="L129" t="str">
        <v>MACERATA</v>
      </c>
      <c r="M129">
        <f>COUNTIFS(Tabella1[Città],L128)</f>
        <v>20</v>
      </c>
      <c r="N129">
        <v>53</v>
      </c>
    </row>
    <row r="130" spans="12:14" ht="15" customHeight="1" x14ac:dyDescent="0.3">
      <c r="L130" t="str">
        <v>MATELICA</v>
      </c>
      <c r="M130">
        <f>COUNTIFS(Tabella1[Città],L129)</f>
        <v>49</v>
      </c>
      <c r="N130">
        <v>57</v>
      </c>
    </row>
    <row r="131" spans="12:14" ht="15" customHeight="1" x14ac:dyDescent="0.3">
      <c r="L131" t="str">
        <v>MOGLIANO</v>
      </c>
      <c r="M131">
        <f>COUNTIFS(Tabella1[Città],L130)</f>
        <v>23</v>
      </c>
      <c r="N131">
        <v>97</v>
      </c>
    </row>
    <row r="132" spans="12:14" ht="15" customHeight="1" x14ac:dyDescent="0.3">
      <c r="L132" t="str">
        <v>MONTECASSIANO</v>
      </c>
      <c r="M132">
        <f>COUNTIFS(Tabella1[Città],L131)</f>
        <v>16</v>
      </c>
      <c r="N132">
        <v>69</v>
      </c>
    </row>
    <row r="133" spans="12:14" ht="15" customHeight="1" x14ac:dyDescent="0.3">
      <c r="L133" t="str">
        <v>MONTE CAVALLO</v>
      </c>
      <c r="M133">
        <f>COUNTIFS(Tabella1[Città],L132)</f>
        <v>10</v>
      </c>
      <c r="N133">
        <v>108</v>
      </c>
    </row>
    <row r="134" spans="12:14" ht="15" customHeight="1" x14ac:dyDescent="0.3">
      <c r="L134" t="str">
        <v>MONTECOSARO</v>
      </c>
      <c r="M134">
        <f>COUNTIFS(Tabella1[Città],L133)</f>
        <v>1</v>
      </c>
      <c r="N134">
        <v>35</v>
      </c>
    </row>
    <row r="135" spans="12:14" ht="15" customHeight="1" x14ac:dyDescent="0.3">
      <c r="L135" t="str">
        <v>MONTEFANO</v>
      </c>
      <c r="M135">
        <f>COUNTIFS(Tabella1[Città],L134)</f>
        <v>13</v>
      </c>
      <c r="N135">
        <v>30</v>
      </c>
    </row>
    <row r="136" spans="12:14" ht="15" customHeight="1" x14ac:dyDescent="0.3">
      <c r="L136" t="str">
        <v>MONTELUPONE</v>
      </c>
      <c r="M136">
        <f>COUNTIFS(Tabella1[Città],L135)</f>
        <v>9</v>
      </c>
      <c r="N136">
        <v>49</v>
      </c>
    </row>
    <row r="137" spans="12:14" ht="15" customHeight="1" x14ac:dyDescent="0.3">
      <c r="L137" t="str">
        <v>MONTE SAN GIUSTO</v>
      </c>
      <c r="M137">
        <f>COUNTIFS(Tabella1[Città],L136)</f>
        <v>13</v>
      </c>
      <c r="N137">
        <v>59</v>
      </c>
    </row>
    <row r="138" spans="12:14" ht="15" customHeight="1" x14ac:dyDescent="0.3">
      <c r="L138" t="str">
        <v>MONTE SAN MARTINO</v>
      </c>
      <c r="M138">
        <f>COUNTIFS(Tabella1[Città],L137)</f>
        <v>4</v>
      </c>
      <c r="N138">
        <v>58</v>
      </c>
    </row>
    <row r="139" spans="12:14" ht="15" customHeight="1" x14ac:dyDescent="0.3">
      <c r="L139" t="str">
        <v>MORROVALLE</v>
      </c>
      <c r="M139">
        <f>COUNTIFS(Tabella1[Città],L138)</f>
        <v>9</v>
      </c>
      <c r="N139">
        <v>46</v>
      </c>
    </row>
    <row r="140" spans="12:14" ht="15" customHeight="1" x14ac:dyDescent="0.3">
      <c r="L140" t="str">
        <v>MUCCIA</v>
      </c>
      <c r="M140">
        <f>COUNTIFS(Tabella1[Città],L139)</f>
        <v>19</v>
      </c>
      <c r="N140">
        <v>89</v>
      </c>
    </row>
    <row r="141" spans="12:14" ht="15" customHeight="1" x14ac:dyDescent="0.3">
      <c r="L141" t="str">
        <v>PENNA SAN GIOVANNI</v>
      </c>
      <c r="M141">
        <f>COUNTIFS(Tabella1[Città],L140)</f>
        <v>8</v>
      </c>
      <c r="N141">
        <v>30</v>
      </c>
    </row>
    <row r="142" spans="12:14" ht="15" customHeight="1" x14ac:dyDescent="0.3">
      <c r="L142" t="str">
        <v>PETRIOLO</v>
      </c>
      <c r="M142">
        <f>COUNTIFS(Tabella1[Città],L141)</f>
        <v>13</v>
      </c>
      <c r="N142">
        <v>103</v>
      </c>
    </row>
    <row r="143" spans="12:14" ht="15" customHeight="1" x14ac:dyDescent="0.3">
      <c r="L143" t="str">
        <v>PIEVEBOVIGLIANA</v>
      </c>
      <c r="M143">
        <f>COUNTIFS(Tabella1[Città],L142)</f>
        <v>5</v>
      </c>
      <c r="N143">
        <v>117</v>
      </c>
    </row>
    <row r="144" spans="12:14" ht="15" customHeight="1" x14ac:dyDescent="0.3">
      <c r="L144" t="str">
        <v>PIEVE TORINA</v>
      </c>
      <c r="M144">
        <f>COUNTIFS(Tabella1[Città],L143)</f>
        <v>11</v>
      </c>
      <c r="N144">
        <v>53</v>
      </c>
    </row>
    <row r="145" spans="12:14" ht="15" customHeight="1" x14ac:dyDescent="0.3">
      <c r="L145" t="str">
        <v>PIORACO</v>
      </c>
      <c r="M145">
        <f>COUNTIFS(Tabella1[Città],L144)</f>
        <v>6</v>
      </c>
      <c r="N145">
        <v>66</v>
      </c>
    </row>
    <row r="146" spans="12:14" ht="15" customHeight="1" x14ac:dyDescent="0.3">
      <c r="L146" t="str">
        <v>POGGIO SAN VICINO</v>
      </c>
      <c r="M146">
        <f>COUNTIFS(Tabella1[Città],L145)</f>
        <v>5</v>
      </c>
      <c r="N146">
        <v>114</v>
      </c>
    </row>
    <row r="147" spans="12:14" ht="15" customHeight="1" x14ac:dyDescent="0.3">
      <c r="L147" t="str">
        <v>POLLENZA</v>
      </c>
      <c r="M147">
        <f>COUNTIFS(Tabella1[Città],L146)</f>
        <v>1</v>
      </c>
      <c r="N147">
        <v>39</v>
      </c>
    </row>
    <row r="148" spans="12:14" ht="15" customHeight="1" x14ac:dyDescent="0.3">
      <c r="L148" t="str">
        <v>PORTO RECANATI</v>
      </c>
      <c r="M148">
        <f>COUNTIFS(Tabella1[Città],L147)</f>
        <v>9</v>
      </c>
      <c r="N148">
        <v>69</v>
      </c>
    </row>
    <row r="149" spans="12:14" ht="15" customHeight="1" x14ac:dyDescent="0.3">
      <c r="L149" t="str">
        <v>POTENZA PICENA</v>
      </c>
      <c r="M149">
        <f>COUNTIFS(Tabella1[Città],L148)</f>
        <v>94</v>
      </c>
      <c r="N149">
        <v>106</v>
      </c>
    </row>
    <row r="150" spans="12:14" ht="15" customHeight="1" x14ac:dyDescent="0.3">
      <c r="L150" t="str">
        <v>RECANATI</v>
      </c>
      <c r="M150">
        <f>COUNTIFS(Tabella1[Città],L149)</f>
        <v>101</v>
      </c>
      <c r="N150">
        <v>93</v>
      </c>
    </row>
    <row r="151" spans="12:14" ht="15" customHeight="1" x14ac:dyDescent="0.3">
      <c r="L151" t="str">
        <v>RIPE SAN GINESIO</v>
      </c>
      <c r="M151">
        <f>COUNTIFS(Tabella1[Città],L150)</f>
        <v>37</v>
      </c>
      <c r="N151">
        <v>46</v>
      </c>
    </row>
    <row r="152" spans="12:14" ht="15" customHeight="1" x14ac:dyDescent="0.3">
      <c r="L152" t="str">
        <v>SAN GINESIO</v>
      </c>
      <c r="M152">
        <f>COUNTIFS(Tabella1[Città],L151)</f>
        <v>4</v>
      </c>
      <c r="N152">
        <v>103</v>
      </c>
    </row>
    <row r="153" spans="12:14" ht="15" customHeight="1" x14ac:dyDescent="0.3">
      <c r="L153" t="str">
        <v>SAN SEVERINO MARCHE</v>
      </c>
      <c r="M153">
        <f>COUNTIFS(Tabella1[Città],L152)</f>
        <v>34</v>
      </c>
      <c r="N153">
        <v>115</v>
      </c>
    </row>
    <row r="154" spans="12:14" ht="15" customHeight="1" x14ac:dyDescent="0.3">
      <c r="L154" t="str">
        <v>SANT'ANGELO IN PONTANO</v>
      </c>
      <c r="M154">
        <f>COUNTIFS(Tabella1[Città],L153)</f>
        <v>56</v>
      </c>
      <c r="N154">
        <v>104</v>
      </c>
    </row>
    <row r="155" spans="12:14" ht="15" customHeight="1" x14ac:dyDescent="0.3">
      <c r="L155" t="str">
        <v>SARNANO</v>
      </c>
      <c r="M155">
        <f>COUNTIFS(Tabella1[Città],L154)</f>
        <v>5</v>
      </c>
      <c r="N155">
        <v>78</v>
      </c>
    </row>
    <row r="156" spans="12:14" ht="15" customHeight="1" x14ac:dyDescent="0.3">
      <c r="L156" t="str">
        <v>SEFRO</v>
      </c>
      <c r="M156">
        <f>COUNTIFS(Tabella1[Città],L155)</f>
        <v>40</v>
      </c>
      <c r="N156">
        <v>69</v>
      </c>
    </row>
    <row r="157" spans="12:14" ht="15" customHeight="1" x14ac:dyDescent="0.3">
      <c r="L157" t="str">
        <v>SERRAPETRONA</v>
      </c>
      <c r="M157">
        <f>COUNTIFS(Tabella1[Città],L156)</f>
        <v>5</v>
      </c>
      <c r="N157">
        <v>62</v>
      </c>
    </row>
    <row r="158" spans="12:14" ht="15" customHeight="1" x14ac:dyDescent="0.3">
      <c r="L158" t="str">
        <v>SERRAVALLE DI CHIENTI</v>
      </c>
      <c r="M158">
        <f>COUNTIFS(Tabella1[Città],L157)</f>
        <v>10</v>
      </c>
      <c r="N158">
        <v>64</v>
      </c>
    </row>
    <row r="159" spans="12:14" ht="15" customHeight="1" x14ac:dyDescent="0.3">
      <c r="L159" t="str">
        <v>TOLENTINO</v>
      </c>
      <c r="M159">
        <f>COUNTIFS(Tabella1[Città],L158)</f>
        <v>4</v>
      </c>
      <c r="N159">
        <v>66</v>
      </c>
    </row>
    <row r="160" spans="12:14" ht="15" customHeight="1" x14ac:dyDescent="0.3">
      <c r="L160" t="str">
        <v>TREIA</v>
      </c>
      <c r="M160">
        <f>COUNTIFS(Tabella1[Città],L159)</f>
        <v>37</v>
      </c>
      <c r="N160">
        <v>63</v>
      </c>
    </row>
    <row r="161" spans="12:14" ht="15" customHeight="1" x14ac:dyDescent="0.3">
      <c r="L161" t="str">
        <v>URBISAGLIA</v>
      </c>
      <c r="M161">
        <f>COUNTIFS(Tabella1[Città],L160)</f>
        <v>42</v>
      </c>
      <c r="N161">
        <v>38</v>
      </c>
    </row>
    <row r="162" spans="12:14" ht="15" customHeight="1" x14ac:dyDescent="0.3">
      <c r="L162" t="str">
        <v>USSITA</v>
      </c>
      <c r="M162">
        <f>COUNTIFS(Tabella1[Città],L161)</f>
        <v>5</v>
      </c>
      <c r="N162">
        <v>75</v>
      </c>
    </row>
    <row r="163" spans="12:14" ht="15" customHeight="1" x14ac:dyDescent="0.3">
      <c r="L163" t="str">
        <v>VISSO</v>
      </c>
      <c r="M163">
        <f>COUNTIFS(Tabella1[Città],L162)</f>
        <v>19</v>
      </c>
      <c r="N163">
        <v>36</v>
      </c>
    </row>
    <row r="164" spans="12:14" ht="15" customHeight="1" x14ac:dyDescent="0.3">
      <c r="L164" t="str">
        <v>ACQUASANTA TERME</v>
      </c>
      <c r="M164">
        <f>COUNTIFS(Tabella1[Città],L163)</f>
        <v>20</v>
      </c>
      <c r="N164">
        <v>98</v>
      </c>
    </row>
    <row r="165" spans="12:14" ht="15" customHeight="1" x14ac:dyDescent="0.3">
      <c r="L165" t="str">
        <v>ACQUAVIVA PICENA</v>
      </c>
      <c r="M165">
        <f>COUNTIFS(Tabella1[Città],L164)</f>
        <v>26</v>
      </c>
      <c r="N165">
        <v>61</v>
      </c>
    </row>
    <row r="166" spans="12:14" ht="15" customHeight="1" x14ac:dyDescent="0.3">
      <c r="L166" t="str">
        <v>APPIGNANO DEL TRONTO</v>
      </c>
      <c r="M166">
        <f>COUNTIFS(Tabella1[Città],L165)</f>
        <v>19</v>
      </c>
      <c r="N166">
        <v>86</v>
      </c>
    </row>
    <row r="167" spans="12:14" ht="15" customHeight="1" x14ac:dyDescent="0.3">
      <c r="L167" t="str">
        <v>ARQUATA DEL TRONTO</v>
      </c>
      <c r="M167">
        <f>COUNTIFS(Tabella1[Città],L166)</f>
        <v>4</v>
      </c>
      <c r="N167">
        <v>31</v>
      </c>
    </row>
    <row r="168" spans="12:14" ht="15" customHeight="1" x14ac:dyDescent="0.3">
      <c r="L168" t="str">
        <v>ASCOLI PICENO</v>
      </c>
      <c r="M168">
        <f>COUNTIFS(Tabella1[Città],L167)</f>
        <v>22</v>
      </c>
      <c r="N168">
        <v>100</v>
      </c>
    </row>
    <row r="169" spans="12:14" ht="15" customHeight="1" x14ac:dyDescent="0.3">
      <c r="L169" t="str">
        <v>CARASSAI</v>
      </c>
      <c r="M169">
        <f>COUNTIFS(Tabella1[Città],L168)</f>
        <v>161</v>
      </c>
      <c r="N169">
        <v>31</v>
      </c>
    </row>
    <row r="170" spans="12:14" ht="15" customHeight="1" x14ac:dyDescent="0.3">
      <c r="L170" t="str">
        <v>CASTEL DI LAMA</v>
      </c>
      <c r="M170">
        <f>COUNTIFS(Tabella1[Città],L169)</f>
        <v>10</v>
      </c>
      <c r="N170">
        <v>94</v>
      </c>
    </row>
    <row r="171" spans="12:14" ht="15" customHeight="1" x14ac:dyDescent="0.3">
      <c r="L171" t="str">
        <v>CASTIGNANO</v>
      </c>
      <c r="M171">
        <f>COUNTIFS(Tabella1[Città],L170)</f>
        <v>7</v>
      </c>
      <c r="N171">
        <v>45</v>
      </c>
    </row>
    <row r="172" spans="12:14" ht="15" customHeight="1" x14ac:dyDescent="0.3">
      <c r="L172" t="str">
        <v>CASTORANO</v>
      </c>
      <c r="M172">
        <f>COUNTIFS(Tabella1[Città],L171)</f>
        <v>14</v>
      </c>
      <c r="N172">
        <v>96</v>
      </c>
    </row>
    <row r="173" spans="12:14" ht="15" customHeight="1" x14ac:dyDescent="0.3">
      <c r="L173" t="str">
        <v>COLLI DEL TRONTO</v>
      </c>
      <c r="M173">
        <f>COUNTIFS(Tabella1[Città],L172)</f>
        <v>8</v>
      </c>
      <c r="N173">
        <v>104</v>
      </c>
    </row>
    <row r="174" spans="12:14" ht="15" customHeight="1" x14ac:dyDescent="0.3">
      <c r="L174" t="str">
        <v>COMUNANZA</v>
      </c>
      <c r="M174">
        <f>COUNTIFS(Tabella1[Città],L173)</f>
        <v>5</v>
      </c>
      <c r="N174">
        <v>65</v>
      </c>
    </row>
    <row r="175" spans="12:14" ht="15" customHeight="1" x14ac:dyDescent="0.3">
      <c r="L175" t="str">
        <v>COSSIGNANO</v>
      </c>
      <c r="M175">
        <f>COUNTIFS(Tabella1[Città],L174)</f>
        <v>11</v>
      </c>
      <c r="N175">
        <v>90</v>
      </c>
    </row>
    <row r="176" spans="12:14" ht="15" customHeight="1" x14ac:dyDescent="0.3">
      <c r="L176" t="str">
        <v>CUPRA MARITTIMA</v>
      </c>
      <c r="M176">
        <f>COUNTIFS(Tabella1[Città],L175)</f>
        <v>19</v>
      </c>
      <c r="N176">
        <v>102</v>
      </c>
    </row>
    <row r="177" spans="12:14" ht="15" customHeight="1" x14ac:dyDescent="0.3">
      <c r="L177" t="str">
        <v>FOLIGNANO</v>
      </c>
      <c r="M177">
        <f>COUNTIFS(Tabella1[Città],L176)</f>
        <v>72</v>
      </c>
      <c r="N177">
        <v>80</v>
      </c>
    </row>
    <row r="178" spans="12:14" ht="15" customHeight="1" x14ac:dyDescent="0.3">
      <c r="L178" t="str">
        <v>FORCE</v>
      </c>
      <c r="M178">
        <f>COUNTIFS(Tabella1[Città],L177)</f>
        <v>4</v>
      </c>
      <c r="N178">
        <v>56</v>
      </c>
    </row>
    <row r="179" spans="12:14" ht="15" customHeight="1" x14ac:dyDescent="0.3">
      <c r="L179" t="str">
        <v>GROTTAMMARE</v>
      </c>
      <c r="M179">
        <f>COUNTIFS(Tabella1[Città],L178)</f>
        <v>6</v>
      </c>
      <c r="N179">
        <v>87</v>
      </c>
    </row>
    <row r="180" spans="12:14" ht="15" customHeight="1" x14ac:dyDescent="0.3">
      <c r="L180" t="str">
        <v>MALTIGNANO</v>
      </c>
      <c r="M180">
        <f>COUNTIFS(Tabella1[Città],L179)</f>
        <v>142</v>
      </c>
      <c r="N180">
        <v>87</v>
      </c>
    </row>
    <row r="181" spans="12:14" ht="15" customHeight="1" x14ac:dyDescent="0.3">
      <c r="L181" t="str">
        <v>MASSIGNANO</v>
      </c>
      <c r="M181">
        <f>COUNTIFS(Tabella1[Città],L180)</f>
        <v>2</v>
      </c>
      <c r="N181">
        <v>79</v>
      </c>
    </row>
    <row r="182" spans="12:14" ht="15" customHeight="1" x14ac:dyDescent="0.3">
      <c r="L182" t="str">
        <v>MONSAMPOLO DEL TRONTO</v>
      </c>
      <c r="M182">
        <f>COUNTIFS(Tabella1[Città],L181)</f>
        <v>22</v>
      </c>
      <c r="N182">
        <v>76</v>
      </c>
    </row>
    <row r="183" spans="12:14" ht="15" customHeight="1" x14ac:dyDescent="0.3">
      <c r="L183" t="str">
        <v>MONTALTO DELLE MARCHE</v>
      </c>
      <c r="M183">
        <f>COUNTIFS(Tabella1[Città],L182)</f>
        <v>13</v>
      </c>
      <c r="N183">
        <v>67</v>
      </c>
    </row>
    <row r="184" spans="12:14" ht="15" customHeight="1" x14ac:dyDescent="0.3">
      <c r="L184" t="str">
        <v>MONTEDINOVE</v>
      </c>
      <c r="M184">
        <f>COUNTIFS(Tabella1[Città],L183)</f>
        <v>23</v>
      </c>
      <c r="N184">
        <v>119</v>
      </c>
    </row>
    <row r="185" spans="12:14" ht="15" customHeight="1" x14ac:dyDescent="0.3">
      <c r="L185" t="str">
        <v>MONTEFIORE DELL'ASO</v>
      </c>
      <c r="M185">
        <f>COUNTIFS(Tabella1[Città],L184)</f>
        <v>12</v>
      </c>
      <c r="N185">
        <v>82</v>
      </c>
    </row>
    <row r="186" spans="12:14" ht="15" customHeight="1" x14ac:dyDescent="0.3">
      <c r="L186" t="str">
        <v>MONTEGALLO</v>
      </c>
      <c r="M186">
        <f>COUNTIFS(Tabella1[Città],L185)</f>
        <v>22</v>
      </c>
      <c r="N186">
        <v>101</v>
      </c>
    </row>
    <row r="187" spans="12:14" ht="15" customHeight="1" x14ac:dyDescent="0.3">
      <c r="L187" t="str">
        <v>MONTEMONACO</v>
      </c>
      <c r="M187">
        <f>COUNTIFS(Tabella1[Città],L186)</f>
        <v>9</v>
      </c>
      <c r="N187">
        <v>92</v>
      </c>
    </row>
    <row r="188" spans="12:14" ht="15" customHeight="1" x14ac:dyDescent="0.3">
      <c r="L188" t="str">
        <v>MONTEPRANDONE</v>
      </c>
      <c r="M188">
        <f>COUNTIFS(Tabella1[Città],L187)</f>
        <v>31</v>
      </c>
      <c r="N188">
        <v>52</v>
      </c>
    </row>
    <row r="189" spans="12:14" ht="15" customHeight="1" x14ac:dyDescent="0.3">
      <c r="L189" t="str">
        <v>OFFIDA</v>
      </c>
      <c r="M189">
        <f>COUNTIFS(Tabella1[Città],L188)</f>
        <v>12</v>
      </c>
      <c r="N189">
        <v>54</v>
      </c>
    </row>
    <row r="190" spans="12:14" ht="15" customHeight="1" x14ac:dyDescent="0.3">
      <c r="L190" t="str">
        <v>PALMIANO</v>
      </c>
      <c r="M190">
        <f>COUNTIFS(Tabella1[Città],L189)</f>
        <v>45</v>
      </c>
      <c r="N190">
        <v>44</v>
      </c>
    </row>
    <row r="191" spans="12:14" ht="15" customHeight="1" x14ac:dyDescent="0.3">
      <c r="L191" t="str">
        <v>RIPATRANSONE</v>
      </c>
      <c r="M191">
        <f>COUNTIFS(Tabella1[Città],L190)</f>
        <v>1</v>
      </c>
      <c r="N191">
        <v>34</v>
      </c>
    </row>
    <row r="192" spans="12:14" ht="15" customHeight="1" x14ac:dyDescent="0.3">
      <c r="L192" t="str">
        <v>ROCCAFLUVIONE</v>
      </c>
      <c r="M192">
        <f>COUNTIFS(Tabella1[Città],L191)</f>
        <v>36</v>
      </c>
      <c r="N192">
        <v>111</v>
      </c>
    </row>
    <row r="193" spans="12:14" ht="15" customHeight="1" x14ac:dyDescent="0.3">
      <c r="L193" t="str">
        <v>ROTELLA</v>
      </c>
      <c r="M193">
        <f>COUNTIFS(Tabella1[Città],L192)</f>
        <v>17</v>
      </c>
      <c r="N193">
        <v>74</v>
      </c>
    </row>
    <row r="194" spans="12:14" ht="15" customHeight="1" x14ac:dyDescent="0.3">
      <c r="L194" t="str">
        <v>SAN BENEDETTO DEL TRONTO</v>
      </c>
      <c r="M194">
        <f>COUNTIFS(Tabella1[Città],L193)</f>
        <v>6</v>
      </c>
      <c r="N194">
        <v>85</v>
      </c>
    </row>
    <row r="195" spans="12:14" ht="15" customHeight="1" x14ac:dyDescent="0.3">
      <c r="L195" t="str">
        <v>SPINETOLI</v>
      </c>
      <c r="M195">
        <f>COUNTIFS(Tabella1[Città],L194)</f>
        <v>301</v>
      </c>
      <c r="N195">
        <v>33</v>
      </c>
    </row>
    <row r="196" spans="12:14" ht="15" customHeight="1" x14ac:dyDescent="0.3">
      <c r="L196" t="str">
        <v>VENAROTTA</v>
      </c>
      <c r="M196">
        <f>COUNTIFS(Tabella1[Città],L195)</f>
        <v>10</v>
      </c>
      <c r="N196">
        <v>110</v>
      </c>
    </row>
    <row r="197" spans="12:14" ht="15" customHeight="1" x14ac:dyDescent="0.3">
      <c r="L197" t="str">
        <v>ALTIDONA</v>
      </c>
      <c r="M197">
        <f>COUNTIFS(Tabella1[Città],L196)</f>
        <v>3</v>
      </c>
      <c r="N197">
        <v>71</v>
      </c>
    </row>
    <row r="198" spans="12:14" ht="15" customHeight="1" x14ac:dyDescent="0.3">
      <c r="L198" t="str">
        <v>AMANDOLA</v>
      </c>
      <c r="M198">
        <f>COUNTIFS(Tabella1[Città],L197)</f>
        <v>14</v>
      </c>
      <c r="N198">
        <v>84</v>
      </c>
    </row>
    <row r="199" spans="12:14" ht="15" customHeight="1" x14ac:dyDescent="0.3">
      <c r="L199" t="str">
        <v>BELMONTE PICENO</v>
      </c>
      <c r="M199">
        <f>COUNTIFS(Tabella1[Città],L198)</f>
        <v>27</v>
      </c>
      <c r="N199">
        <v>75</v>
      </c>
    </row>
    <row r="200" spans="12:14" ht="15" customHeight="1" x14ac:dyDescent="0.3">
      <c r="L200" t="str">
        <v>CAMPOFILONE</v>
      </c>
      <c r="M200">
        <f>COUNTIFS(Tabella1[Città],L199)</f>
        <v>6</v>
      </c>
      <c r="N200">
        <v>109</v>
      </c>
    </row>
    <row r="201" spans="12:14" ht="15" customHeight="1" x14ac:dyDescent="0.3">
      <c r="L201" t="str">
        <v>FALERONE</v>
      </c>
      <c r="M201">
        <f>COUNTIFS(Tabella1[Città],L200)</f>
        <v>18</v>
      </c>
      <c r="N201">
        <v>95</v>
      </c>
    </row>
    <row r="202" spans="12:14" ht="15" customHeight="1" x14ac:dyDescent="0.3">
      <c r="L202" t="str">
        <v>FERMO</v>
      </c>
      <c r="M202">
        <f>COUNTIFS(Tabella1[Città],L201)</f>
        <v>7</v>
      </c>
      <c r="N202">
        <v>42</v>
      </c>
    </row>
    <row r="203" spans="12:14" ht="15" customHeight="1" x14ac:dyDescent="0.3">
      <c r="L203" t="str">
        <v>FRANCAVILLA D'ETE</v>
      </c>
      <c r="M203">
        <f>COUNTIFS(Tabella1[Città],L202)</f>
        <v>138</v>
      </c>
      <c r="N203">
        <v>106</v>
      </c>
    </row>
    <row r="204" spans="12:14" ht="15" customHeight="1" x14ac:dyDescent="0.3">
      <c r="L204" t="str">
        <v>GROTTAZZOLINA</v>
      </c>
      <c r="M204">
        <f>COUNTIFS(Tabella1[Città],L203)</f>
        <v>2</v>
      </c>
      <c r="N204">
        <v>51</v>
      </c>
    </row>
    <row r="205" spans="12:14" ht="15" customHeight="1" x14ac:dyDescent="0.3">
      <c r="L205" t="str">
        <v>LAPEDONA</v>
      </c>
      <c r="M205">
        <f>COUNTIFS(Tabella1[Città],L204)</f>
        <v>4</v>
      </c>
      <c r="N205">
        <v>108</v>
      </c>
    </row>
    <row r="206" spans="12:14" ht="15" customHeight="1" x14ac:dyDescent="0.3">
      <c r="L206" t="str">
        <v>MAGLIANO DI TENNA</v>
      </c>
      <c r="M206">
        <f>COUNTIFS(Tabella1[Città],L205)</f>
        <v>22</v>
      </c>
      <c r="N206">
        <v>47</v>
      </c>
    </row>
    <row r="207" spans="12:14" ht="15" customHeight="1" x14ac:dyDescent="0.3">
      <c r="L207" t="str">
        <v>MASSA FERMANA</v>
      </c>
      <c r="M207">
        <f>COUNTIFS(Tabella1[Città],L206)</f>
        <v>3</v>
      </c>
      <c r="N207">
        <v>111</v>
      </c>
    </row>
    <row r="208" spans="12:14" ht="15" customHeight="1" x14ac:dyDescent="0.3">
      <c r="L208" t="str">
        <v>MONSAMPIETRO MORICO</v>
      </c>
      <c r="M208">
        <f>COUNTIFS(Tabella1[Città],L207)</f>
        <v>1</v>
      </c>
      <c r="N208">
        <v>113</v>
      </c>
    </row>
    <row r="209" spans="12:14" ht="15" customHeight="1" x14ac:dyDescent="0.3">
      <c r="L209" t="str">
        <v>MONTAPPONE</v>
      </c>
      <c r="M209">
        <f>COUNTIFS(Tabella1[Città],L208)</f>
        <v>3</v>
      </c>
      <c r="N209">
        <v>81</v>
      </c>
    </row>
    <row r="210" spans="12:14" ht="15" customHeight="1" x14ac:dyDescent="0.3">
      <c r="L210" t="str">
        <v>MONTEFALCONE APPENNINO</v>
      </c>
      <c r="M210">
        <f>COUNTIFS(Tabella1[Città],L209)</f>
        <v>4</v>
      </c>
      <c r="N210">
        <v>57</v>
      </c>
    </row>
    <row r="211" spans="12:14" ht="15" customHeight="1" x14ac:dyDescent="0.3">
      <c r="L211" t="str">
        <v>MONTEFORTINO</v>
      </c>
      <c r="M211">
        <f>COUNTIFS(Tabella1[Città],L210)</f>
        <v>9</v>
      </c>
      <c r="N211">
        <v>33</v>
      </c>
    </row>
    <row r="212" spans="12:14" ht="15" customHeight="1" x14ac:dyDescent="0.3">
      <c r="L212" t="str">
        <v>MONTE GIBERTO</v>
      </c>
      <c r="M212">
        <f>COUNTIFS(Tabella1[Città],L211)</f>
        <v>20</v>
      </c>
      <c r="N212">
        <v>62</v>
      </c>
    </row>
    <row r="213" spans="12:14" ht="15" customHeight="1" x14ac:dyDescent="0.3">
      <c r="L213" t="str">
        <v>MONTEGIORGIO</v>
      </c>
      <c r="M213">
        <f>COUNTIFS(Tabella1[Città],L212)</f>
        <v>10</v>
      </c>
      <c r="N213">
        <v>82</v>
      </c>
    </row>
    <row r="214" spans="12:14" ht="15" customHeight="1" x14ac:dyDescent="0.3">
      <c r="L214" t="str">
        <v>MONTEGRANARO</v>
      </c>
      <c r="M214">
        <f>COUNTIFS(Tabella1[Città],L213)</f>
        <v>9</v>
      </c>
      <c r="N214">
        <v>94</v>
      </c>
    </row>
    <row r="215" spans="12:14" ht="15" customHeight="1" x14ac:dyDescent="0.3">
      <c r="L215" t="str">
        <v>MONTELEONE DI FERMO</v>
      </c>
      <c r="M215">
        <f>COUNTIFS(Tabella1[Città],L214)</f>
        <v>11</v>
      </c>
      <c r="N215">
        <v>109</v>
      </c>
    </row>
    <row r="216" spans="12:14" ht="15" customHeight="1" x14ac:dyDescent="0.3">
      <c r="L216" t="str">
        <v>MONTELPARO</v>
      </c>
      <c r="M216">
        <f>COUNTIFS(Tabella1[Città],L215)</f>
        <v>2</v>
      </c>
      <c r="N216">
        <v>112</v>
      </c>
    </row>
    <row r="217" spans="12:14" ht="15" customHeight="1" x14ac:dyDescent="0.3">
      <c r="L217" t="str">
        <v>MONTE RINALDO</v>
      </c>
      <c r="M217">
        <f>COUNTIFS(Tabella1[Città],L216)</f>
        <v>16</v>
      </c>
      <c r="N217">
        <v>113</v>
      </c>
    </row>
    <row r="218" spans="12:14" ht="15" customHeight="1" x14ac:dyDescent="0.3">
      <c r="L218" t="str">
        <v>MONTERUBBIANO</v>
      </c>
      <c r="M218">
        <f>COUNTIFS(Tabella1[Città],L217)</f>
        <v>7</v>
      </c>
      <c r="N218">
        <v>78</v>
      </c>
    </row>
    <row r="219" spans="12:14" ht="15" customHeight="1" x14ac:dyDescent="0.3">
      <c r="L219" t="str">
        <v>MONTE SAN PIETRANGELI</v>
      </c>
      <c r="M219">
        <f>COUNTIFS(Tabella1[Città],L218)</f>
        <v>13</v>
      </c>
      <c r="N219">
        <v>114</v>
      </c>
    </row>
    <row r="220" spans="12:14" ht="15" customHeight="1" x14ac:dyDescent="0.3">
      <c r="L220" t="str">
        <v>MONTE URANO</v>
      </c>
      <c r="M220">
        <f>COUNTIFS(Tabella1[Città],L219)</f>
        <v>6</v>
      </c>
      <c r="N220">
        <v>43</v>
      </c>
    </row>
    <row r="221" spans="12:14" ht="15" customHeight="1" x14ac:dyDescent="0.3">
      <c r="L221" t="str">
        <v>MONTE VIDON COMBATTE</v>
      </c>
      <c r="M221">
        <f>COUNTIFS(Tabella1[Città],L220)</f>
        <v>5</v>
      </c>
      <c r="N221">
        <v>80</v>
      </c>
    </row>
    <row r="222" spans="12:14" ht="15" customHeight="1" x14ac:dyDescent="0.3">
      <c r="L222" t="str">
        <v>MONTE VIDON CORRADO</v>
      </c>
      <c r="M222">
        <f>COUNTIFS(Tabella1[Città],L221)</f>
        <v>2</v>
      </c>
      <c r="N222">
        <v>93</v>
      </c>
    </row>
    <row r="223" spans="12:14" ht="15" customHeight="1" x14ac:dyDescent="0.3">
      <c r="L223" t="str">
        <v>MONTOTTONE</v>
      </c>
      <c r="M223">
        <f>COUNTIFS(Tabella1[Città],L222)</f>
        <v>3</v>
      </c>
      <c r="N223">
        <v>101</v>
      </c>
    </row>
    <row r="224" spans="12:14" ht="15" customHeight="1" x14ac:dyDescent="0.3">
      <c r="L224" t="str">
        <v>MORESCO</v>
      </c>
      <c r="M224">
        <f>COUNTIFS(Tabella1[Città],L223)</f>
        <v>7</v>
      </c>
      <c r="N224">
        <v>68</v>
      </c>
    </row>
    <row r="225" spans="12:14" ht="15" customHeight="1" x14ac:dyDescent="0.3">
      <c r="L225" t="str">
        <v>ORTEZZANO</v>
      </c>
      <c r="M225">
        <f>COUNTIFS(Tabella1[Città],L224)</f>
        <v>4</v>
      </c>
      <c r="N225">
        <v>53</v>
      </c>
    </row>
    <row r="226" spans="12:14" ht="15" customHeight="1" x14ac:dyDescent="0.3">
      <c r="L226" t="str">
        <v>PEDASO</v>
      </c>
      <c r="M226">
        <f>COUNTIFS(Tabella1[Città],L225)</f>
        <v>10</v>
      </c>
      <c r="N226">
        <v>64</v>
      </c>
    </row>
    <row r="227" spans="12:14" ht="15" customHeight="1" x14ac:dyDescent="0.3">
      <c r="L227" t="str">
        <v>PETRITOLI</v>
      </c>
      <c r="M227">
        <f>COUNTIFS(Tabella1[Città],L226)</f>
        <v>9</v>
      </c>
      <c r="N227">
        <v>90</v>
      </c>
    </row>
    <row r="228" spans="12:14" ht="15" customHeight="1" x14ac:dyDescent="0.3">
      <c r="L228" t="str">
        <v>PONZANO DI FERMO</v>
      </c>
      <c r="M228">
        <f>COUNTIFS(Tabella1[Città],L227)</f>
        <v>18</v>
      </c>
      <c r="N228">
        <v>105</v>
      </c>
    </row>
    <row r="229" spans="12:14" ht="15" customHeight="1" x14ac:dyDescent="0.3">
      <c r="L229" t="str">
        <v>PORTO SAN GIORGIO</v>
      </c>
      <c r="M229">
        <f>COUNTIFS(Tabella1[Città],L228)</f>
        <v>4</v>
      </c>
      <c r="N229">
        <v>70</v>
      </c>
    </row>
    <row r="230" spans="12:14" ht="15" customHeight="1" x14ac:dyDescent="0.3">
      <c r="L230" t="str">
        <v>PORTO SANT'ELPIDIO</v>
      </c>
      <c r="M230">
        <f>COUNTIFS(Tabella1[Città],L229)</f>
        <v>104</v>
      </c>
      <c r="N230">
        <v>74</v>
      </c>
    </row>
    <row r="231" spans="12:14" ht="15" customHeight="1" x14ac:dyDescent="0.3">
      <c r="L231" t="str">
        <v>RAPAGNANO</v>
      </c>
      <c r="M231">
        <f>COUNTIFS(Tabella1[Città],L230)</f>
        <v>81</v>
      </c>
      <c r="N231">
        <v>110</v>
      </c>
    </row>
    <row r="232" spans="12:14" ht="15" customHeight="1" x14ac:dyDescent="0.3">
      <c r="L232" t="str">
        <v>SANTA VITTORIA IN MATENANO</v>
      </c>
      <c r="M232">
        <f>COUNTIFS(Tabella1[Città],L231)</f>
        <v>3</v>
      </c>
      <c r="N232">
        <v>112</v>
      </c>
    </row>
    <row r="233" spans="12:14" ht="15" customHeight="1" x14ac:dyDescent="0.3">
      <c r="L233" t="str">
        <v>SANT'ELPIDIO A MARE</v>
      </c>
      <c r="M233">
        <f>COUNTIFS(Tabella1[Città],L232)</f>
        <v>12</v>
      </c>
      <c r="N233">
        <v>54</v>
      </c>
    </row>
    <row r="234" spans="12:14" ht="15" customHeight="1" x14ac:dyDescent="0.3">
      <c r="L234" t="str">
        <v>SERVIGLIANO</v>
      </c>
      <c r="M234">
        <f>COUNTIFS(Tabella1[Città],L233)</f>
        <v>23</v>
      </c>
      <c r="N234">
        <v>83</v>
      </c>
    </row>
    <row r="235" spans="12:14" ht="15" customHeight="1" x14ac:dyDescent="0.3">
      <c r="L235" t="str">
        <v>SMERILLO</v>
      </c>
      <c r="M235">
        <f>COUNTIFS(Tabella1[Città],L234)</f>
        <v>5</v>
      </c>
      <c r="N235">
        <v>113</v>
      </c>
    </row>
    <row r="236" spans="12:14" ht="15" customHeight="1" x14ac:dyDescent="0.3">
      <c r="L236" t="str">
        <v>TORRE SAN PATRIZIO</v>
      </c>
      <c r="M236">
        <f>COUNTIFS(Tabella1[Città],L235)</f>
        <v>13</v>
      </c>
      <c r="N236">
        <v>50</v>
      </c>
    </row>
  </sheetData>
  <sortState xmlns:xlrd2="http://schemas.microsoft.com/office/spreadsheetml/2017/richdata2" ref="H5:I29">
    <sortCondition ref="H5:H29"/>
  </sortState>
  <phoneticPr fontId="20" type="noConversion"/>
  <dataValidations count="1">
    <dataValidation type="list" allowBlank="1" showInputMessage="1" showErrorMessage="1" sqref="C4" xr:uid="{440AC49D-A607-450C-8883-8BBABBE4379A}">
      <formula1>"Struuture ricettive"</formula1>
    </dataValidation>
  </dataValidation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9DE4C9-0597-4445-BD7A-A9F789258BDE}">
          <x14:formula1>
            <xm:f>'Strutture ricettive'!$B$1:$B$6259</xm:f>
          </x14:formula1>
          <xm:sqref>C5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CB87-4B2E-4096-A732-18D9B84D049E}">
  <dimension ref="A1:J32"/>
  <sheetViews>
    <sheetView workbookViewId="0">
      <selection activeCell="A33" sqref="A33"/>
    </sheetView>
  </sheetViews>
  <sheetFormatPr defaultRowHeight="14.4" x14ac:dyDescent="0.3"/>
  <cols>
    <col min="3" max="4" width="12" bestFit="1" customWidth="1"/>
  </cols>
  <sheetData>
    <row r="1" spans="1:10" ht="18" x14ac:dyDescent="0.35">
      <c r="A1" s="29" t="s">
        <v>19739</v>
      </c>
    </row>
    <row r="2" spans="1:10" x14ac:dyDescent="0.3">
      <c r="A2" s="27" t="s">
        <v>19740</v>
      </c>
      <c r="C2">
        <f>COUNTA(Tabella1[Denominazione])</f>
        <v>6258</v>
      </c>
    </row>
    <row r="3" spans="1:10" x14ac:dyDescent="0.3">
      <c r="A3" s="27" t="s">
        <v>19741</v>
      </c>
      <c r="C3">
        <f>COUNTIFS(Tabella1[Categoria],"ALBERGHI")</f>
        <v>814</v>
      </c>
    </row>
    <row r="4" spans="1:10" x14ac:dyDescent="0.3">
      <c r="A4" s="27" t="s">
        <v>19742</v>
      </c>
      <c r="C4">
        <f>COUNTIFS(Tabella1[Categoria],"BED &amp; BREAKFAST")</f>
        <v>1809</v>
      </c>
    </row>
    <row r="6" spans="1:10" x14ac:dyDescent="0.3">
      <c r="A6" s="27" t="s">
        <v>19743</v>
      </c>
      <c r="D6" s="28">
        <f>C3/C2</f>
        <v>0.13007350591243208</v>
      </c>
    </row>
    <row r="7" spans="1:10" x14ac:dyDescent="0.3">
      <c r="A7" s="27" t="s">
        <v>19744</v>
      </c>
      <c r="D7" s="28">
        <f>C4/C2</f>
        <v>0.28906999041227227</v>
      </c>
    </row>
    <row r="8" spans="1:10" x14ac:dyDescent="0.3">
      <c r="A8" s="27" t="s">
        <v>19745</v>
      </c>
      <c r="H8" s="28">
        <f>(C3/C2)^2</f>
        <v>1.6919116940351503E-2</v>
      </c>
      <c r="J8" s="27" t="s">
        <v>19746</v>
      </c>
    </row>
    <row r="11" spans="1:10" ht="18" x14ac:dyDescent="0.35">
      <c r="A11" s="29" t="s">
        <v>19747</v>
      </c>
    </row>
    <row r="12" spans="1:10" ht="15.6" x14ac:dyDescent="0.3">
      <c r="A12" s="30" t="s">
        <v>19750</v>
      </c>
    </row>
    <row r="13" spans="1:10" x14ac:dyDescent="0.3">
      <c r="A13" s="27" t="s">
        <v>19748</v>
      </c>
      <c r="B13">
        <f>'prezzi (2)'!G1-'prezzi (2)'!G6</f>
        <v>64</v>
      </c>
    </row>
    <row r="14" spans="1:10" x14ac:dyDescent="0.3">
      <c r="A14" s="27" t="s">
        <v>19749</v>
      </c>
      <c r="B14">
        <f>'prezzi (2)'!G1+'prezzi (2)'!G6</f>
        <v>83</v>
      </c>
    </row>
    <row r="15" spans="1:10" ht="15.6" x14ac:dyDescent="0.3">
      <c r="A15" s="31" t="s">
        <v>19751</v>
      </c>
    </row>
    <row r="16" spans="1:10" x14ac:dyDescent="0.3">
      <c r="A16" s="27" t="s">
        <v>19752</v>
      </c>
      <c r="B16">
        <f>'prezzi (2)'!G1-2*'prezzi (2)'!G6</f>
        <v>54.5</v>
      </c>
    </row>
    <row r="17" spans="1:6" x14ac:dyDescent="0.3">
      <c r="A17" s="27" t="s">
        <v>19749</v>
      </c>
      <c r="B17">
        <f>'prezzi (2)'!G1+2*'prezzi (2)'!G6</f>
        <v>92.5</v>
      </c>
    </row>
    <row r="19" spans="1:6" ht="18" x14ac:dyDescent="0.35">
      <c r="A19" s="29" t="s">
        <v>19753</v>
      </c>
    </row>
    <row r="20" spans="1:6" x14ac:dyDescent="0.3">
      <c r="A20" s="32" t="s">
        <v>19754</v>
      </c>
      <c r="B20">
        <f>_xlfn.XLOOKUP(A20,prezzi__2[CITTA''], prezzi__2[PREZZO MEDIO],"Non trovata")</f>
        <v>31</v>
      </c>
      <c r="C20">
        <f>(B20-'prezzi (2)'!G1)/'prezzi (2)'!G6</f>
        <v>-4.4736842105263159</v>
      </c>
      <c r="E20" s="27" t="s">
        <v>19755</v>
      </c>
    </row>
    <row r="21" spans="1:6" x14ac:dyDescent="0.3">
      <c r="C21" s="28">
        <f>_xlfn.NORM.S.DIST(C20,TRUE)</f>
        <v>3.8441631552534279E-6</v>
      </c>
    </row>
    <row r="22" spans="1:6" ht="18" x14ac:dyDescent="0.35">
      <c r="A22" s="29" t="s">
        <v>19756</v>
      </c>
    </row>
    <row r="23" spans="1:6" x14ac:dyDescent="0.3">
      <c r="A23" s="32" t="s">
        <v>19757</v>
      </c>
      <c r="C23">
        <f>_xlfn.CONFIDENCE.NORM(0.05,_xlfn.STDEV.P('prezzi (2)'!B2:B235),COUNTA('prezzi (2)'!B2:B235))</f>
        <v>3.5183875907817783</v>
      </c>
    </row>
    <row r="24" spans="1:6" x14ac:dyDescent="0.3">
      <c r="A24" s="33" t="s">
        <v>19758</v>
      </c>
    </row>
    <row r="25" spans="1:6" x14ac:dyDescent="0.3">
      <c r="C25" s="33" t="s">
        <v>19759</v>
      </c>
      <c r="D25">
        <f>'prezzi (2)'!G1-Foglio4!C23</f>
        <v>69.981612409218215</v>
      </c>
      <c r="F25" s="33" t="s">
        <v>19761</v>
      </c>
    </row>
    <row r="26" spans="1:6" x14ac:dyDescent="0.3">
      <c r="C26" s="33" t="s">
        <v>19760</v>
      </c>
      <c r="D26">
        <f>'prezzi (2)'!G1+Foglio4!C23</f>
        <v>77.018387590781785</v>
      </c>
    </row>
    <row r="27" spans="1:6" ht="18" x14ac:dyDescent="0.35">
      <c r="A27" s="29" t="s">
        <v>19767</v>
      </c>
    </row>
    <row r="28" spans="1:6" x14ac:dyDescent="0.3">
      <c r="A28" s="33" t="s">
        <v>19762</v>
      </c>
      <c r="C28" s="33" t="s">
        <v>19763</v>
      </c>
      <c r="D28">
        <f>_xlfn.CONFIDENCE.NORM(0.1,_xlfn.STDEV.P('prezzi (2)'!B2:B235),COUNTA('prezzi (2)'!B2:B235))</f>
        <v>2.9527239456272727</v>
      </c>
      <c r="F28" s="33" t="s">
        <v>19765</v>
      </c>
    </row>
    <row r="29" spans="1:6" x14ac:dyDescent="0.3">
      <c r="C29" s="33" t="s">
        <v>19764</v>
      </c>
      <c r="D29">
        <f>_xlfn.CONFIDENCE.NORM(0.01,_xlfn.STDEV.P('prezzi (2)'!B2:B235),COUNTA('prezzi (2)'!B2:B235))</f>
        <v>4.6239450974938636</v>
      </c>
    </row>
    <row r="30" spans="1:6" x14ac:dyDescent="0.3">
      <c r="F30" s="33" t="s">
        <v>19766</v>
      </c>
    </row>
    <row r="32" spans="1:6" ht="18" x14ac:dyDescent="0.35">
      <c r="A32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8B341-3D3C-455D-B44A-5BA29C921BAC}">
  <dimension ref="A1:M235"/>
  <sheetViews>
    <sheetView workbookViewId="0">
      <selection activeCell="B2" sqref="B2"/>
    </sheetView>
  </sheetViews>
  <sheetFormatPr defaultRowHeight="14.4" x14ac:dyDescent="0.3"/>
  <cols>
    <col min="1" max="1" width="28.44140625" bestFit="1" customWidth="1"/>
    <col min="2" max="2" width="16.21875" bestFit="1" customWidth="1"/>
    <col min="3" max="5" width="16.21875" customWidth="1"/>
    <col min="6" max="6" width="18.21875" customWidth="1"/>
    <col min="8" max="8" width="9.21875" bestFit="1" customWidth="1"/>
    <col min="9" max="9" width="17" customWidth="1"/>
    <col min="10" max="10" width="10.88671875" customWidth="1"/>
  </cols>
  <sheetData>
    <row r="1" spans="1:13" x14ac:dyDescent="0.3">
      <c r="A1" s="34" t="s">
        <v>19704</v>
      </c>
      <c r="B1" t="s">
        <v>19714</v>
      </c>
      <c r="C1" s="2" t="s">
        <v>19735</v>
      </c>
      <c r="D1" s="35" t="s">
        <v>19773</v>
      </c>
      <c r="E1" s="35" t="s">
        <v>19772</v>
      </c>
      <c r="F1" s="2" t="s">
        <v>19715</v>
      </c>
      <c r="G1">
        <f>AVERAGE(B2:B235)</f>
        <v>73.5</v>
      </c>
      <c r="K1" s="2"/>
    </row>
    <row r="2" spans="1:13" x14ac:dyDescent="0.3">
      <c r="A2" s="34" t="s">
        <v>10</v>
      </c>
      <c r="B2">
        <v>31</v>
      </c>
      <c r="C2" t="str">
        <f>IF(OR(B2&lt;$M$5,B2&gt;$M$4),"OUTLIER"," ")</f>
        <v xml:space="preserve"> </v>
      </c>
      <c r="D2" t="str">
        <f>IF(COUNTIFS(Tabella1[Città], A2, Tabella1[Categoria],"ALLOGGI AGRITURISTICI")&gt;0,"SI","NO")</f>
        <v>SI</v>
      </c>
      <c r="E2" t="str">
        <f>IF(COUNTIFS(Tabella1[Città], A2, Tabella1[Categoria],"ALBERGHI")&gt;0,"SI","NO")</f>
        <v>SI</v>
      </c>
      <c r="F2" s="2" t="s">
        <v>19716</v>
      </c>
      <c r="G2">
        <f>MEDIAN(B2:B235,)</f>
        <v>73</v>
      </c>
      <c r="I2" s="2" t="s">
        <v>19729</v>
      </c>
      <c r="J2" s="2" t="s">
        <v>19730</v>
      </c>
      <c r="L2" s="2" t="s">
        <v>19731</v>
      </c>
      <c r="M2">
        <f>_xlfn.QUARTILE.INC(B2:B235,1)</f>
        <v>50.25</v>
      </c>
    </row>
    <row r="3" spans="1:13" x14ac:dyDescent="0.3">
      <c r="A3" t="s">
        <v>16</v>
      </c>
      <c r="B3">
        <v>75</v>
      </c>
      <c r="C3" t="str">
        <f t="shared" ref="C3:C66" si="0">IF(OR(B3&lt;$M$5,B3&gt;$M$4),"OUTLIER"," ")</f>
        <v xml:space="preserve"> </v>
      </c>
      <c r="D3" t="str">
        <f>IF(COUNTIFS(Tabella1[Città], A3, Tabella1[Categoria],"ALLOGGI AGRITURISTICI")&gt;0,"SI","NO")</f>
        <v>SI</v>
      </c>
      <c r="E3" t="str">
        <f>IF(COUNTIFS(Tabella1[Città], A3, Tabella1[Categoria],"ALBERGHI")&gt;0,"SI","NO")</f>
        <v>SI</v>
      </c>
      <c r="F3" s="2" t="s">
        <v>19717</v>
      </c>
      <c r="G3">
        <f>MODE(B2:B235)</f>
        <v>75</v>
      </c>
      <c r="I3" s="2" t="s">
        <v>19721</v>
      </c>
      <c r="J3">
        <f>COUNTIFS(B2:B235,"&gt;=0",B2:B235,"&lt;=20")</f>
        <v>0</v>
      </c>
      <c r="L3" s="2" t="s">
        <v>19732</v>
      </c>
      <c r="M3">
        <f>_xlfn.QUARTILE.INC(B2:B235,3)</f>
        <v>97</v>
      </c>
    </row>
    <row r="4" spans="1:13" x14ac:dyDescent="0.3">
      <c r="A4" t="s">
        <v>103</v>
      </c>
      <c r="B4">
        <v>77</v>
      </c>
      <c r="C4" t="str">
        <f t="shared" si="0"/>
        <v xml:space="preserve"> </v>
      </c>
      <c r="D4" t="str">
        <f>IF(COUNTIFS(Tabella1[Città], A4, Tabella1[Categoria],"ALLOGGI AGRITURISTICI")&gt;0,"SI","NO")</f>
        <v>SI</v>
      </c>
      <c r="E4" t="str">
        <f>IF(COUNTIFS(Tabella1[Città], A4, Tabella1[Categoria],"ALBERGHI")&gt;0,"SI","NO")</f>
        <v>SI</v>
      </c>
      <c r="I4" s="2" t="s">
        <v>19722</v>
      </c>
      <c r="J4">
        <f>COUNTIFS(B2:B235,"&gt;=20",B2:B235,"&lt;=40")</f>
        <v>37</v>
      </c>
      <c r="L4" s="2" t="s">
        <v>19733</v>
      </c>
      <c r="M4">
        <f>M3+1.5*(M3-M2)</f>
        <v>167.125</v>
      </c>
    </row>
    <row r="5" spans="1:13" x14ac:dyDescent="0.3">
      <c r="A5" t="s">
        <v>200</v>
      </c>
      <c r="B5">
        <v>93</v>
      </c>
      <c r="C5" t="str">
        <f t="shared" si="0"/>
        <v xml:space="preserve"> </v>
      </c>
      <c r="D5" t="str">
        <f>IF(COUNTIFS(Tabella1[Città], A5, Tabella1[Categoria],"ALLOGGI AGRITURISTICI")&gt;0,"SI","NO")</f>
        <v>NO</v>
      </c>
      <c r="E5" t="str">
        <f>IF(COUNTIFS(Tabella1[Città], A5, Tabella1[Categoria],"ALBERGHI")&gt;0,"SI","NO")</f>
        <v>SI</v>
      </c>
      <c r="F5" s="2" t="s">
        <v>19718</v>
      </c>
      <c r="G5">
        <f>_xlfn.VAR.P(B2,B235)</f>
        <v>90.25</v>
      </c>
      <c r="I5" s="2" t="s">
        <v>19723</v>
      </c>
      <c r="J5">
        <f>COUNTIFS(B2:B235,"&gt;=40",B2:B235,"&lt;=60")</f>
        <v>53</v>
      </c>
      <c r="L5" s="2" t="s">
        <v>19734</v>
      </c>
      <c r="M5">
        <f>M2-1.5*(M3-M2)</f>
        <v>-19.875</v>
      </c>
    </row>
    <row r="6" spans="1:13" x14ac:dyDescent="0.3">
      <c r="A6" t="s">
        <v>228</v>
      </c>
      <c r="B6">
        <v>83</v>
      </c>
      <c r="C6" t="str">
        <f t="shared" si="0"/>
        <v xml:space="preserve"> </v>
      </c>
      <c r="D6" t="str">
        <f>IF(COUNTIFS(Tabella1[Città], A6, Tabella1[Categoria],"ALLOGGI AGRITURISTICI")&gt;0,"SI","NO")</f>
        <v>SI</v>
      </c>
      <c r="E6" t="str">
        <f>IF(COUNTIFS(Tabella1[Città], A6, Tabella1[Categoria],"ALBERGHI")&gt;0,"SI","NO")</f>
        <v>NO</v>
      </c>
      <c r="F6" s="2" t="s">
        <v>19719</v>
      </c>
      <c r="G6">
        <f>_xlfn.STDEV.P(B2,B235)</f>
        <v>9.5</v>
      </c>
      <c r="I6" s="2" t="s">
        <v>19724</v>
      </c>
      <c r="J6">
        <f>COUNTIFS(B2:B235,"&gt;=60",B2:B235,"&lt;=80")</f>
        <v>53</v>
      </c>
    </row>
    <row r="7" spans="1:13" x14ac:dyDescent="0.3">
      <c r="A7" t="s">
        <v>257</v>
      </c>
      <c r="B7">
        <v>49</v>
      </c>
      <c r="C7" t="str">
        <f t="shared" si="0"/>
        <v xml:space="preserve"> </v>
      </c>
      <c r="D7" t="str">
        <f>IF(COUNTIFS(Tabella1[Città], A7, Tabella1[Categoria],"ALLOGGI AGRITURISTICI")&gt;0,"SI","NO")</f>
        <v>SI</v>
      </c>
      <c r="E7" t="str">
        <f>IF(COUNTIFS(Tabella1[Città], A7, Tabella1[Categoria],"ALBERGHI")&gt;0,"SI","NO")</f>
        <v>NO</v>
      </c>
      <c r="F7" s="2" t="s">
        <v>19720</v>
      </c>
      <c r="G7">
        <f>_xlfn.QUARTILE.INC(B2:B235,3)-_xlfn.QUARTILE.INC(B2:B235,1)</f>
        <v>46.75</v>
      </c>
      <c r="I7" s="2" t="s">
        <v>19725</v>
      </c>
      <c r="J7">
        <f>COUNTIFS(B2:B235,"&gt;=80",B2:B235,"&lt;=100")</f>
        <v>41</v>
      </c>
    </row>
    <row r="8" spans="1:13" x14ac:dyDescent="0.3">
      <c r="A8" t="s">
        <v>267</v>
      </c>
      <c r="B8">
        <v>58</v>
      </c>
      <c r="C8" t="str">
        <f t="shared" si="0"/>
        <v xml:space="preserve"> </v>
      </c>
      <c r="D8" t="str">
        <f>IF(COUNTIFS(Tabella1[Città], A8, Tabella1[Categoria],"ALLOGGI AGRITURISTICI")&gt;0,"SI","NO")</f>
        <v>SI</v>
      </c>
      <c r="E8" t="str">
        <f>IF(COUNTIFS(Tabella1[Città], A8, Tabella1[Categoria],"ALBERGHI")&gt;0,"SI","NO")</f>
        <v>SI</v>
      </c>
      <c r="I8" s="2" t="s">
        <v>19726</v>
      </c>
      <c r="J8">
        <f>COUNTIFS(B2:B235,"&gt;=100",B2:B235,"&lt;=120")</f>
        <v>57</v>
      </c>
    </row>
    <row r="9" spans="1:13" x14ac:dyDescent="0.3">
      <c r="A9" t="s">
        <v>317</v>
      </c>
      <c r="B9">
        <v>64</v>
      </c>
      <c r="C9" t="str">
        <f t="shared" si="0"/>
        <v xml:space="preserve"> </v>
      </c>
      <c r="D9" t="str">
        <f>IF(COUNTIFS(Tabella1[Città], A9, Tabella1[Categoria],"ALLOGGI AGRITURISTICI")&gt;0,"SI","NO")</f>
        <v>SI</v>
      </c>
      <c r="E9" t="str">
        <f>IF(COUNTIFS(Tabella1[Città], A9, Tabella1[Categoria],"ALBERGHI")&gt;0,"SI","NO")</f>
        <v>SI</v>
      </c>
      <c r="F9" s="26" t="s">
        <v>19738</v>
      </c>
      <c r="I9" s="2" t="s">
        <v>19727</v>
      </c>
      <c r="J9">
        <f>COUNTIFS(B2:B235,"&gt;=120",B2:B235,"&lt;=140")</f>
        <v>5</v>
      </c>
    </row>
    <row r="10" spans="1:13" x14ac:dyDescent="0.3">
      <c r="A10" t="s">
        <v>536</v>
      </c>
      <c r="B10">
        <v>106</v>
      </c>
      <c r="C10" t="str">
        <f t="shared" si="0"/>
        <v xml:space="preserve"> </v>
      </c>
      <c r="D10" t="str">
        <f>IF(COUNTIFS(Tabella1[Città], A10, Tabella1[Categoria],"ALLOGGI AGRITURISTICI")&gt;0,"SI","NO")</f>
        <v>SI</v>
      </c>
      <c r="E10" t="str">
        <f>IF(COUNTIFS(Tabella1[Città], A10, Tabella1[Categoria],"ALBERGHI")&gt;0,"SI","NO")</f>
        <v>SI</v>
      </c>
      <c r="I10" s="24" t="s">
        <v>19728</v>
      </c>
      <c r="J10" s="25" t="str">
        <f>INDEX(I3:I9,MATCH(MAX(J3:J9),J3:J9,0))</f>
        <v>100-120</v>
      </c>
    </row>
    <row r="11" spans="1:13" x14ac:dyDescent="0.3">
      <c r="A11" t="s">
        <v>580</v>
      </c>
      <c r="B11">
        <v>118</v>
      </c>
      <c r="C11" t="str">
        <f t="shared" si="0"/>
        <v xml:space="preserve"> </v>
      </c>
      <c r="D11" t="str">
        <f>IF(COUNTIFS(Tabella1[Città], A11, Tabella1[Categoria],"ALLOGGI AGRITURISTICI")&gt;0,"SI","NO")</f>
        <v>SI</v>
      </c>
      <c r="E11" t="str">
        <f>IF(COUNTIFS(Tabella1[Città], A11, Tabella1[Categoria],"ALBERGHI")&gt;0,"SI","NO")</f>
        <v>SI</v>
      </c>
    </row>
    <row r="12" spans="1:13" x14ac:dyDescent="0.3">
      <c r="A12" t="s">
        <v>635</v>
      </c>
      <c r="B12">
        <v>36</v>
      </c>
      <c r="C12" t="str">
        <f t="shared" si="0"/>
        <v xml:space="preserve"> </v>
      </c>
      <c r="D12" t="str">
        <f>IF(COUNTIFS(Tabella1[Città], A12, Tabella1[Categoria],"ALLOGGI AGRITURISTICI")&gt;0,"SI","NO")</f>
        <v>SI</v>
      </c>
      <c r="E12" t="str">
        <f>IF(COUNTIFS(Tabella1[Città], A12, Tabella1[Categoria],"ALBERGHI")&gt;0,"SI","NO")</f>
        <v>NO</v>
      </c>
      <c r="F12" s="2" t="s">
        <v>19736</v>
      </c>
    </row>
    <row r="13" spans="1:13" x14ac:dyDescent="0.3">
      <c r="A13" t="s">
        <v>683</v>
      </c>
      <c r="B13">
        <v>120</v>
      </c>
      <c r="C13" t="str">
        <f t="shared" si="0"/>
        <v xml:space="preserve"> </v>
      </c>
      <c r="D13" t="str">
        <f>IF(COUNTIFS(Tabella1[Città], A13, Tabella1[Categoria],"ALLOGGI AGRITURISTICI")&gt;0,"SI","NO")</f>
        <v>SI</v>
      </c>
      <c r="E13" t="str">
        <f>IF(COUNTIFS(Tabella1[Città], A13, Tabella1[Categoria],"ALBERGHI")&gt;0,"SI","NO")</f>
        <v>SI</v>
      </c>
    </row>
    <row r="14" spans="1:13" x14ac:dyDescent="0.3">
      <c r="A14" t="s">
        <v>1654</v>
      </c>
      <c r="B14">
        <v>88</v>
      </c>
      <c r="C14" t="str">
        <f t="shared" si="0"/>
        <v xml:space="preserve"> </v>
      </c>
      <c r="D14" t="str">
        <f>IF(COUNTIFS(Tabella1[Città], A14, Tabella1[Categoria],"ALLOGGI AGRITURISTICI")&gt;0,"SI","NO")</f>
        <v>SI</v>
      </c>
      <c r="E14" t="str">
        <f>IF(COUNTIFS(Tabella1[Città], A14, Tabella1[Categoria],"ALBERGHI")&gt;0,"SI","NO")</f>
        <v>SI</v>
      </c>
    </row>
    <row r="15" spans="1:13" ht="18" x14ac:dyDescent="0.35">
      <c r="A15" t="s">
        <v>1725</v>
      </c>
      <c r="B15">
        <v>66</v>
      </c>
      <c r="C15" t="str">
        <f t="shared" si="0"/>
        <v xml:space="preserve"> </v>
      </c>
      <c r="D15" t="str">
        <f>IF(COUNTIFS(Tabella1[Città], A15, Tabella1[Categoria],"ALLOGGI AGRITURISTICI")&gt;0,"SI","NO")</f>
        <v>SI</v>
      </c>
      <c r="E15" t="str">
        <f>IF(COUNTIFS(Tabella1[Città], A15, Tabella1[Categoria],"ALBERGHI")&gt;0,"SI","NO")</f>
        <v>SI</v>
      </c>
      <c r="F15" s="29" t="s">
        <v>19768</v>
      </c>
    </row>
    <row r="16" spans="1:13" x14ac:dyDescent="0.3">
      <c r="A16" t="s">
        <v>1797</v>
      </c>
      <c r="B16">
        <v>119</v>
      </c>
      <c r="C16" t="str">
        <f t="shared" si="0"/>
        <v xml:space="preserve"> </v>
      </c>
      <c r="D16" t="str">
        <f>IF(COUNTIFS(Tabella1[Città], A16, Tabella1[Categoria],"ALLOGGI AGRITURISTICI")&gt;0,"SI","NO")</f>
        <v>SI</v>
      </c>
      <c r="E16" t="str">
        <f>IF(COUNTIFS(Tabella1[Città], A16, Tabella1[Categoria],"ALBERGHI")&gt;0,"SI","NO")</f>
        <v>SI</v>
      </c>
      <c r="F16" s="34" t="s">
        <v>19774</v>
      </c>
      <c r="H16" s="36">
        <f>AVERAGEIFS(prezzi__2[PREZZO MEDIO],D2:D235,"SI")</f>
        <v>73.041237113402062</v>
      </c>
      <c r="J16" s="34" t="s">
        <v>19776</v>
      </c>
    </row>
    <row r="17" spans="1:8" x14ac:dyDescent="0.3">
      <c r="A17" t="s">
        <v>1811</v>
      </c>
      <c r="B17">
        <v>52</v>
      </c>
      <c r="C17" t="str">
        <f t="shared" si="0"/>
        <v xml:space="preserve"> </v>
      </c>
      <c r="D17" t="str">
        <f>IF(COUNTIFS(Tabella1[Città], A17, Tabella1[Categoria],"ALLOGGI AGRITURISTICI")&gt;0,"SI","NO")</f>
        <v>SI</v>
      </c>
      <c r="E17" t="str">
        <f>IF(COUNTIFS(Tabella1[Città], A17, Tabella1[Categoria],"ALBERGHI")&gt;0,"SI","NO")</f>
        <v>SI</v>
      </c>
      <c r="F17" s="34" t="s">
        <v>19775</v>
      </c>
      <c r="H17" s="36">
        <f>AVERAGEIFS(prezzi__2[PREZZO MEDIO],E2:E235,"SI")</f>
        <v>72.65584415584415</v>
      </c>
    </row>
    <row r="18" spans="1:8" x14ac:dyDescent="0.3">
      <c r="A18" t="s">
        <v>357</v>
      </c>
      <c r="B18">
        <v>75</v>
      </c>
      <c r="C18" t="str">
        <f t="shared" si="0"/>
        <v xml:space="preserve"> </v>
      </c>
      <c r="D18" t="str">
        <f>IF(COUNTIFS(Tabella1[Città], A18, Tabella1[Categoria],"ALLOGGI AGRITURISTICI")&gt;0,"SI","NO")</f>
        <v>SI</v>
      </c>
      <c r="E18" t="str">
        <f>IF(COUNTIFS(Tabella1[Città], A18, Tabella1[Categoria],"ALBERGHI")&gt;0,"SI","NO")</f>
        <v>SI</v>
      </c>
    </row>
    <row r="19" spans="1:8" x14ac:dyDescent="0.3">
      <c r="A19" t="s">
        <v>1908</v>
      </c>
      <c r="B19">
        <v>112</v>
      </c>
      <c r="C19" t="str">
        <f t="shared" si="0"/>
        <v xml:space="preserve"> </v>
      </c>
      <c r="D19" t="str">
        <f>IF(COUNTIFS(Tabella1[Città], A19, Tabella1[Categoria],"ALLOGGI AGRITURISTICI")&gt;0,"SI","NO")</f>
        <v>NO</v>
      </c>
      <c r="E19" t="str">
        <f>IF(COUNTIFS(Tabella1[Città], A19, Tabella1[Categoria],"ALBERGHI")&gt;0,"SI","NO")</f>
        <v>SI</v>
      </c>
    </row>
    <row r="20" spans="1:8" x14ac:dyDescent="0.3">
      <c r="A20" t="s">
        <v>2426</v>
      </c>
      <c r="B20">
        <v>87</v>
      </c>
      <c r="C20" t="str">
        <f t="shared" si="0"/>
        <v xml:space="preserve"> </v>
      </c>
      <c r="D20" t="str">
        <f>IF(COUNTIFS(Tabella1[Città], A20, Tabella1[Categoria],"ALLOGGI AGRITURISTICI")&gt;0,"SI","NO")</f>
        <v>NO</v>
      </c>
      <c r="E20" t="str">
        <f>IF(COUNTIFS(Tabella1[Città], A20, Tabella1[Categoria],"ALBERGHI")&gt;0,"SI","NO")</f>
        <v>SI</v>
      </c>
    </row>
    <row r="21" spans="1:8" x14ac:dyDescent="0.3">
      <c r="A21" t="s">
        <v>2530</v>
      </c>
      <c r="B21">
        <v>46</v>
      </c>
      <c r="C21" t="str">
        <f t="shared" si="0"/>
        <v xml:space="preserve"> </v>
      </c>
      <c r="D21" t="str">
        <f>IF(COUNTIFS(Tabella1[Città], A21, Tabella1[Categoria],"ALLOGGI AGRITURISTICI")&gt;0,"SI","NO")</f>
        <v>SI</v>
      </c>
      <c r="E21" t="str">
        <f>IF(COUNTIFS(Tabella1[Città], A21, Tabella1[Categoria],"ALBERGHI")&gt;0,"SI","NO")</f>
        <v>NO</v>
      </c>
    </row>
    <row r="22" spans="1:8" x14ac:dyDescent="0.3">
      <c r="A22" t="s">
        <v>2550</v>
      </c>
      <c r="B22">
        <v>36</v>
      </c>
      <c r="C22" t="str">
        <f t="shared" si="0"/>
        <v xml:space="preserve"> </v>
      </c>
      <c r="D22" t="str">
        <f>IF(COUNTIFS(Tabella1[Città], A22, Tabella1[Categoria],"ALLOGGI AGRITURISTICI")&gt;0,"SI","NO")</f>
        <v>SI</v>
      </c>
      <c r="E22" t="str">
        <f>IF(COUNTIFS(Tabella1[Città], A22, Tabella1[Categoria],"ALBERGHI")&gt;0,"SI","NO")</f>
        <v>NO</v>
      </c>
    </row>
    <row r="23" spans="1:8" x14ac:dyDescent="0.3">
      <c r="A23" t="s">
        <v>2558</v>
      </c>
      <c r="B23">
        <v>32</v>
      </c>
      <c r="C23" t="str">
        <f t="shared" si="0"/>
        <v xml:space="preserve"> </v>
      </c>
      <c r="D23" t="str">
        <f>IF(COUNTIFS(Tabella1[Città], A23, Tabella1[Categoria],"ALLOGGI AGRITURISTICI")&gt;0,"SI","NO")</f>
        <v>SI</v>
      </c>
      <c r="E23" t="str">
        <f>IF(COUNTIFS(Tabella1[Città], A23, Tabella1[Categoria],"ALBERGHI")&gt;0,"SI","NO")</f>
        <v>SI</v>
      </c>
    </row>
    <row r="24" spans="1:8" x14ac:dyDescent="0.3">
      <c r="A24" t="s">
        <v>2595</v>
      </c>
      <c r="B24">
        <v>85</v>
      </c>
      <c r="C24" t="str">
        <f t="shared" si="0"/>
        <v xml:space="preserve"> </v>
      </c>
      <c r="D24" t="str">
        <f>IF(COUNTIFS(Tabella1[Città], A24, Tabella1[Categoria],"ALLOGGI AGRITURISTICI")&gt;0,"SI","NO")</f>
        <v>SI</v>
      </c>
      <c r="E24" t="str">
        <f>IF(COUNTIFS(Tabella1[Città], A24, Tabella1[Categoria],"ALBERGHI")&gt;0,"SI","NO")</f>
        <v>NO</v>
      </c>
    </row>
    <row r="25" spans="1:8" x14ac:dyDescent="0.3">
      <c r="A25" t="s">
        <v>2673</v>
      </c>
      <c r="B25">
        <v>120</v>
      </c>
      <c r="C25" t="str">
        <f t="shared" si="0"/>
        <v xml:space="preserve"> </v>
      </c>
      <c r="D25" t="str">
        <f>IF(COUNTIFS(Tabella1[Città], A25, Tabella1[Categoria],"ALLOGGI AGRITURISTICI")&gt;0,"SI","NO")</f>
        <v>SI</v>
      </c>
      <c r="E25" t="str">
        <f>IF(COUNTIFS(Tabella1[Città], A25, Tabella1[Categoria],"ALBERGHI")&gt;0,"SI","NO")</f>
        <v>NO</v>
      </c>
    </row>
    <row r="26" spans="1:8" x14ac:dyDescent="0.3">
      <c r="A26" t="s">
        <v>2679</v>
      </c>
      <c r="B26">
        <v>39</v>
      </c>
      <c r="C26" t="str">
        <f t="shared" si="0"/>
        <v xml:space="preserve"> </v>
      </c>
      <c r="D26" t="str">
        <f>IF(COUNTIFS(Tabella1[Città], A26, Tabella1[Categoria],"ALLOGGI AGRITURISTICI")&gt;0,"SI","NO")</f>
        <v>SI</v>
      </c>
      <c r="E26" t="str">
        <f>IF(COUNTIFS(Tabella1[Città], A26, Tabella1[Categoria],"ALBERGHI")&gt;0,"SI","NO")</f>
        <v>NO</v>
      </c>
    </row>
    <row r="27" spans="1:8" x14ac:dyDescent="0.3">
      <c r="A27" t="s">
        <v>2730</v>
      </c>
      <c r="B27">
        <v>116</v>
      </c>
      <c r="C27" t="str">
        <f t="shared" si="0"/>
        <v xml:space="preserve"> </v>
      </c>
      <c r="D27" t="str">
        <f>IF(COUNTIFS(Tabella1[Città], A27, Tabella1[Categoria],"ALLOGGI AGRITURISTICI")&gt;0,"SI","NO")</f>
        <v>SI</v>
      </c>
      <c r="E27" t="str">
        <f>IF(COUNTIFS(Tabella1[Città], A27, Tabella1[Categoria],"ALBERGHI")&gt;0,"SI","NO")</f>
        <v>SI</v>
      </c>
    </row>
    <row r="28" spans="1:8" x14ac:dyDescent="0.3">
      <c r="A28" t="s">
        <v>1606</v>
      </c>
      <c r="B28">
        <v>64</v>
      </c>
      <c r="C28" t="str">
        <f t="shared" si="0"/>
        <v xml:space="preserve"> </v>
      </c>
      <c r="D28" t="str">
        <f>IF(COUNTIFS(Tabella1[Città], A28, Tabella1[Categoria],"ALLOGGI AGRITURISTICI")&gt;0,"SI","NO")</f>
        <v>NO</v>
      </c>
      <c r="E28" t="str">
        <f>IF(COUNTIFS(Tabella1[Città], A28, Tabella1[Categoria],"ALBERGHI")&gt;0,"SI","NO")</f>
        <v>SI</v>
      </c>
    </row>
    <row r="29" spans="1:8" x14ac:dyDescent="0.3">
      <c r="A29" t="s">
        <v>2995</v>
      </c>
      <c r="B29">
        <v>46</v>
      </c>
      <c r="C29" t="str">
        <f t="shared" si="0"/>
        <v xml:space="preserve"> </v>
      </c>
      <c r="D29" t="str">
        <f>IF(COUNTIFS(Tabella1[Città], A29, Tabella1[Categoria],"ALLOGGI AGRITURISTICI")&gt;0,"SI","NO")</f>
        <v>SI</v>
      </c>
      <c r="E29" t="str">
        <f>IF(COUNTIFS(Tabella1[Città], A29, Tabella1[Categoria],"ALBERGHI")&gt;0,"SI","NO")</f>
        <v>NO</v>
      </c>
    </row>
    <row r="30" spans="1:8" x14ac:dyDescent="0.3">
      <c r="A30" t="s">
        <v>3023</v>
      </c>
      <c r="B30">
        <v>78</v>
      </c>
      <c r="C30" t="str">
        <f t="shared" si="0"/>
        <v xml:space="preserve"> </v>
      </c>
      <c r="D30" t="str">
        <f>IF(COUNTIFS(Tabella1[Città], A30, Tabella1[Categoria],"ALLOGGI AGRITURISTICI")&gt;0,"SI","NO")</f>
        <v>SI</v>
      </c>
      <c r="E30" t="str">
        <f>IF(COUNTIFS(Tabella1[Città], A30, Tabella1[Categoria],"ALBERGHI")&gt;0,"SI","NO")</f>
        <v>NO</v>
      </c>
    </row>
    <row r="31" spans="1:8" x14ac:dyDescent="0.3">
      <c r="A31" t="s">
        <v>3039</v>
      </c>
      <c r="B31">
        <v>48</v>
      </c>
      <c r="C31" t="str">
        <f t="shared" si="0"/>
        <v xml:space="preserve"> </v>
      </c>
      <c r="D31" t="str">
        <f>IF(COUNTIFS(Tabella1[Città], A31, Tabella1[Categoria],"ALLOGGI AGRITURISTICI")&gt;0,"SI","NO")</f>
        <v>SI</v>
      </c>
      <c r="E31" t="str">
        <f>IF(COUNTIFS(Tabella1[Città], A31, Tabella1[Categoria],"ALBERGHI")&gt;0,"SI","NO")</f>
        <v>NO</v>
      </c>
    </row>
    <row r="32" spans="1:8" x14ac:dyDescent="0.3">
      <c r="A32" t="s">
        <v>3068</v>
      </c>
      <c r="B32">
        <v>51</v>
      </c>
      <c r="C32" t="str">
        <f t="shared" si="0"/>
        <v xml:space="preserve"> </v>
      </c>
      <c r="D32" t="str">
        <f>IF(COUNTIFS(Tabella1[Città], A32, Tabella1[Categoria],"ALLOGGI AGRITURISTICI")&gt;0,"SI","NO")</f>
        <v>NO</v>
      </c>
      <c r="E32" t="str">
        <f>IF(COUNTIFS(Tabella1[Città], A32, Tabella1[Categoria],"ALBERGHI")&gt;0,"SI","NO")</f>
        <v>SI</v>
      </c>
    </row>
    <row r="33" spans="1:5" x14ac:dyDescent="0.3">
      <c r="A33" t="s">
        <v>3101</v>
      </c>
      <c r="B33">
        <v>61</v>
      </c>
      <c r="C33" t="str">
        <f t="shared" si="0"/>
        <v xml:space="preserve"> </v>
      </c>
      <c r="D33" t="str">
        <f>IF(COUNTIFS(Tabella1[Città], A33, Tabella1[Categoria],"ALLOGGI AGRITURISTICI")&gt;0,"SI","NO")</f>
        <v>SI</v>
      </c>
      <c r="E33" t="str">
        <f>IF(COUNTIFS(Tabella1[Città], A33, Tabella1[Categoria],"ALBERGHI")&gt;0,"SI","NO")</f>
        <v>NO</v>
      </c>
    </row>
    <row r="34" spans="1:5" x14ac:dyDescent="0.3">
      <c r="A34" t="s">
        <v>3132</v>
      </c>
      <c r="B34">
        <v>107</v>
      </c>
      <c r="C34" t="str">
        <f t="shared" si="0"/>
        <v xml:space="preserve"> </v>
      </c>
      <c r="D34" t="str">
        <f>IF(COUNTIFS(Tabella1[Città], A34, Tabella1[Categoria],"ALLOGGI AGRITURISTICI")&gt;0,"SI","NO")</f>
        <v>NO</v>
      </c>
      <c r="E34" t="str">
        <f>IF(COUNTIFS(Tabella1[Città], A34, Tabella1[Categoria],"ALBERGHI")&gt;0,"SI","NO")</f>
        <v>SI</v>
      </c>
    </row>
    <row r="35" spans="1:5" x14ac:dyDescent="0.3">
      <c r="A35" t="s">
        <v>3161</v>
      </c>
      <c r="B35">
        <v>49</v>
      </c>
      <c r="C35" t="str">
        <f t="shared" si="0"/>
        <v xml:space="preserve"> </v>
      </c>
      <c r="D35" t="str">
        <f>IF(COUNTIFS(Tabella1[Città], A35, Tabella1[Categoria],"ALLOGGI AGRITURISTICI")&gt;0,"SI","NO")</f>
        <v>SI</v>
      </c>
      <c r="E35" t="str">
        <f>IF(COUNTIFS(Tabella1[Città], A35, Tabella1[Categoria],"ALBERGHI")&gt;0,"SI","NO")</f>
        <v>SI</v>
      </c>
    </row>
    <row r="36" spans="1:5" x14ac:dyDescent="0.3">
      <c r="A36" t="s">
        <v>3183</v>
      </c>
      <c r="B36">
        <v>120</v>
      </c>
      <c r="C36" t="str">
        <f t="shared" si="0"/>
        <v xml:space="preserve"> </v>
      </c>
      <c r="D36" t="str">
        <f>IF(COUNTIFS(Tabella1[Città], A36, Tabella1[Categoria],"ALLOGGI AGRITURISTICI")&gt;0,"SI","NO")</f>
        <v>SI</v>
      </c>
      <c r="E36" t="str">
        <f>IF(COUNTIFS(Tabella1[Città], A36, Tabella1[Categoria],"ALBERGHI")&gt;0,"SI","NO")</f>
        <v>SI</v>
      </c>
    </row>
    <row r="37" spans="1:5" x14ac:dyDescent="0.3">
      <c r="A37" t="s">
        <v>3223</v>
      </c>
      <c r="B37">
        <v>119</v>
      </c>
      <c r="C37" t="str">
        <f t="shared" si="0"/>
        <v xml:space="preserve"> </v>
      </c>
      <c r="D37" t="str">
        <f>IF(COUNTIFS(Tabella1[Città], A37, Tabella1[Categoria],"ALLOGGI AGRITURISTICI")&gt;0,"SI","NO")</f>
        <v>SI</v>
      </c>
      <c r="E37" t="str">
        <f>IF(COUNTIFS(Tabella1[Città], A37, Tabella1[Categoria],"ALBERGHI")&gt;0,"SI","NO")</f>
        <v>SI</v>
      </c>
    </row>
    <row r="38" spans="1:5" x14ac:dyDescent="0.3">
      <c r="A38" t="s">
        <v>3258</v>
      </c>
      <c r="B38">
        <v>85</v>
      </c>
      <c r="C38" t="str">
        <f t="shared" si="0"/>
        <v xml:space="preserve"> </v>
      </c>
      <c r="D38" t="str">
        <f>IF(COUNTIFS(Tabella1[Città], A38, Tabella1[Categoria],"ALLOGGI AGRITURISTICI")&gt;0,"SI","NO")</f>
        <v>SI</v>
      </c>
      <c r="E38" t="str">
        <f>IF(COUNTIFS(Tabella1[Città], A38, Tabella1[Categoria],"ALBERGHI")&gt;0,"SI","NO")</f>
        <v>SI</v>
      </c>
    </row>
    <row r="39" spans="1:5" x14ac:dyDescent="0.3">
      <c r="A39" t="s">
        <v>3283</v>
      </c>
      <c r="B39">
        <v>109</v>
      </c>
      <c r="C39" t="str">
        <f t="shared" si="0"/>
        <v xml:space="preserve"> </v>
      </c>
      <c r="D39" t="str">
        <f>IF(COUNTIFS(Tabella1[Città], A39, Tabella1[Categoria],"ALLOGGI AGRITURISTICI")&gt;0,"SI","NO")</f>
        <v>SI</v>
      </c>
      <c r="E39" t="str">
        <f>IF(COUNTIFS(Tabella1[Città], A39, Tabella1[Categoria],"ALBERGHI")&gt;0,"SI","NO")</f>
        <v>SI</v>
      </c>
    </row>
    <row r="40" spans="1:5" x14ac:dyDescent="0.3">
      <c r="A40" t="s">
        <v>3306</v>
      </c>
      <c r="B40">
        <v>35</v>
      </c>
      <c r="C40" t="str">
        <f t="shared" si="0"/>
        <v xml:space="preserve"> </v>
      </c>
      <c r="D40" t="str">
        <f>IF(COUNTIFS(Tabella1[Città], A40, Tabella1[Categoria],"ALLOGGI AGRITURISTICI")&gt;0,"SI","NO")</f>
        <v>SI</v>
      </c>
      <c r="E40" t="str">
        <f>IF(COUNTIFS(Tabella1[Città], A40, Tabella1[Categoria],"ALBERGHI")&gt;0,"SI","NO")</f>
        <v>NO</v>
      </c>
    </row>
    <row r="41" spans="1:5" x14ac:dyDescent="0.3">
      <c r="A41" t="s">
        <v>2387</v>
      </c>
      <c r="B41">
        <v>86</v>
      </c>
      <c r="C41" t="str">
        <f t="shared" si="0"/>
        <v xml:space="preserve"> </v>
      </c>
      <c r="D41" t="str">
        <f>IF(COUNTIFS(Tabella1[Città], A41, Tabella1[Categoria],"ALLOGGI AGRITURISTICI")&gt;0,"SI","NO")</f>
        <v>SI</v>
      </c>
      <c r="E41" t="str">
        <f>IF(COUNTIFS(Tabella1[Città], A41, Tabella1[Categoria],"ALBERGHI")&gt;0,"SI","NO")</f>
        <v>SI</v>
      </c>
    </row>
    <row r="42" spans="1:5" x14ac:dyDescent="0.3">
      <c r="A42" t="s">
        <v>4110</v>
      </c>
      <c r="B42">
        <v>78</v>
      </c>
      <c r="C42" t="str">
        <f t="shared" si="0"/>
        <v xml:space="preserve"> </v>
      </c>
      <c r="D42" t="str">
        <f>IF(COUNTIFS(Tabella1[Città], A42, Tabella1[Categoria],"ALLOGGI AGRITURISTICI")&gt;0,"SI","NO")</f>
        <v>SI</v>
      </c>
      <c r="E42" t="str">
        <f>IF(COUNTIFS(Tabella1[Città], A42, Tabella1[Categoria],"ALBERGHI")&gt;0,"SI","NO")</f>
        <v>SI</v>
      </c>
    </row>
    <row r="43" spans="1:5" x14ac:dyDescent="0.3">
      <c r="A43" t="s">
        <v>4122</v>
      </c>
      <c r="B43">
        <v>39</v>
      </c>
      <c r="C43" t="str">
        <f t="shared" si="0"/>
        <v xml:space="preserve"> </v>
      </c>
      <c r="D43" t="str">
        <f>IF(COUNTIFS(Tabella1[Città], A43, Tabella1[Categoria],"ALLOGGI AGRITURISTICI")&gt;0,"SI","NO")</f>
        <v>SI</v>
      </c>
      <c r="E43" t="str">
        <f>IF(COUNTIFS(Tabella1[Città], A43, Tabella1[Categoria],"ALBERGHI")&gt;0,"SI","NO")</f>
        <v>NO</v>
      </c>
    </row>
    <row r="44" spans="1:5" x14ac:dyDescent="0.3">
      <c r="A44" t="s">
        <v>4131</v>
      </c>
      <c r="B44">
        <v>58</v>
      </c>
      <c r="C44" t="str">
        <f t="shared" si="0"/>
        <v xml:space="preserve"> </v>
      </c>
      <c r="D44" t="str">
        <f>IF(COUNTIFS(Tabella1[Città], A44, Tabella1[Categoria],"ALLOGGI AGRITURISTICI")&gt;0,"SI","NO")</f>
        <v>SI</v>
      </c>
      <c r="E44" t="str">
        <f>IF(COUNTIFS(Tabella1[Città], A44, Tabella1[Categoria],"ALBERGHI")&gt;0,"SI","NO")</f>
        <v>SI</v>
      </c>
    </row>
    <row r="45" spans="1:5" x14ac:dyDescent="0.3">
      <c r="A45" t="s">
        <v>4152</v>
      </c>
      <c r="B45">
        <v>119</v>
      </c>
      <c r="C45" t="str">
        <f t="shared" si="0"/>
        <v xml:space="preserve"> </v>
      </c>
      <c r="D45" t="str">
        <f>IF(COUNTIFS(Tabella1[Città], A45, Tabella1[Categoria],"ALLOGGI AGRITURISTICI")&gt;0,"SI","NO")</f>
        <v>NO</v>
      </c>
      <c r="E45" t="str">
        <f>IF(COUNTIFS(Tabella1[Città], A45, Tabella1[Categoria],"ALBERGHI")&gt;0,"SI","NO")</f>
        <v>NO</v>
      </c>
    </row>
    <row r="46" spans="1:5" x14ac:dyDescent="0.3">
      <c r="A46" t="s">
        <v>4176</v>
      </c>
      <c r="B46">
        <v>117</v>
      </c>
      <c r="C46" t="str">
        <f t="shared" si="0"/>
        <v xml:space="preserve"> </v>
      </c>
      <c r="D46" t="str">
        <f>IF(COUNTIFS(Tabella1[Città], A46, Tabella1[Categoria],"ALLOGGI AGRITURISTICI")&gt;0,"SI","NO")</f>
        <v>SI</v>
      </c>
      <c r="E46" t="str">
        <f>IF(COUNTIFS(Tabella1[Città], A46, Tabella1[Categoria],"ALBERGHI")&gt;0,"SI","NO")</f>
        <v>SI</v>
      </c>
    </row>
    <row r="47" spans="1:5" x14ac:dyDescent="0.3">
      <c r="A47" t="s">
        <v>4243</v>
      </c>
      <c r="B47">
        <v>56</v>
      </c>
      <c r="C47" t="str">
        <f t="shared" si="0"/>
        <v xml:space="preserve"> </v>
      </c>
      <c r="D47" t="str">
        <f>IF(COUNTIFS(Tabella1[Città], A47, Tabella1[Categoria],"ALLOGGI AGRITURISTICI")&gt;0,"SI","NO")</f>
        <v>SI</v>
      </c>
      <c r="E47" t="str">
        <f>IF(COUNTIFS(Tabella1[Città], A47, Tabella1[Categoria],"ALBERGHI")&gt;0,"SI","NO")</f>
        <v>SI</v>
      </c>
    </row>
    <row r="48" spans="1:5" x14ac:dyDescent="0.3">
      <c r="A48" t="s">
        <v>4273</v>
      </c>
      <c r="B48">
        <v>78</v>
      </c>
      <c r="C48" t="str">
        <f t="shared" si="0"/>
        <v xml:space="preserve"> </v>
      </c>
      <c r="D48" t="str">
        <f>IF(COUNTIFS(Tabella1[Città], A48, Tabella1[Categoria],"ALLOGGI AGRITURISTICI")&gt;0,"SI","NO")</f>
        <v>SI</v>
      </c>
      <c r="E48" t="str">
        <f>IF(COUNTIFS(Tabella1[Città], A48, Tabella1[Categoria],"ALBERGHI")&gt;0,"SI","NO")</f>
        <v>NO</v>
      </c>
    </row>
    <row r="49" spans="1:5" x14ac:dyDescent="0.3">
      <c r="A49" t="s">
        <v>4342</v>
      </c>
      <c r="B49">
        <v>71</v>
      </c>
      <c r="C49" t="str">
        <f t="shared" si="0"/>
        <v xml:space="preserve"> </v>
      </c>
      <c r="D49" t="str">
        <f>IF(COUNTIFS(Tabella1[Città], A49, Tabella1[Categoria],"ALLOGGI AGRITURISTICI")&gt;0,"SI","NO")</f>
        <v>NO</v>
      </c>
      <c r="E49" t="str">
        <f>IF(COUNTIFS(Tabella1[Città], A49, Tabella1[Categoria],"ALBERGHI")&gt;0,"SI","NO")</f>
        <v>NO</v>
      </c>
    </row>
    <row r="50" spans="1:5" x14ac:dyDescent="0.3">
      <c r="A50" t="s">
        <v>4360</v>
      </c>
      <c r="B50">
        <v>95</v>
      </c>
      <c r="C50" t="str">
        <f t="shared" si="0"/>
        <v xml:space="preserve"> </v>
      </c>
      <c r="D50" t="str">
        <f>IF(COUNTIFS(Tabella1[Città], A50, Tabella1[Categoria],"ALLOGGI AGRITURISTICI")&gt;0,"SI","NO")</f>
        <v>SI</v>
      </c>
      <c r="E50" t="str">
        <f>IF(COUNTIFS(Tabella1[Città], A50, Tabella1[Categoria],"ALBERGHI")&gt;0,"SI","NO")</f>
        <v>SI</v>
      </c>
    </row>
    <row r="51" spans="1:5" x14ac:dyDescent="0.3">
      <c r="A51" t="s">
        <v>4398</v>
      </c>
      <c r="B51">
        <v>33</v>
      </c>
      <c r="C51" t="str">
        <f t="shared" si="0"/>
        <v xml:space="preserve"> </v>
      </c>
      <c r="D51" t="str">
        <f>IF(COUNTIFS(Tabella1[Città], A51, Tabella1[Categoria],"ALLOGGI AGRITURISTICI")&gt;0,"SI","NO")</f>
        <v>SI</v>
      </c>
      <c r="E51" t="str">
        <f>IF(COUNTIFS(Tabella1[Città], A51, Tabella1[Categoria],"ALBERGHI")&gt;0,"SI","NO")</f>
        <v>SI</v>
      </c>
    </row>
    <row r="52" spans="1:5" x14ac:dyDescent="0.3">
      <c r="A52" t="s">
        <v>4466</v>
      </c>
      <c r="B52">
        <v>56</v>
      </c>
      <c r="C52" t="str">
        <f t="shared" si="0"/>
        <v xml:space="preserve"> </v>
      </c>
      <c r="D52" t="str">
        <f>IF(COUNTIFS(Tabella1[Città], A52, Tabella1[Categoria],"ALLOGGI AGRITURISTICI")&gt;0,"SI","NO")</f>
        <v>SI</v>
      </c>
      <c r="E52" t="str">
        <f>IF(COUNTIFS(Tabella1[Città], A52, Tabella1[Categoria],"ALBERGHI")&gt;0,"SI","NO")</f>
        <v>NO</v>
      </c>
    </row>
    <row r="53" spans="1:5" x14ac:dyDescent="0.3">
      <c r="A53" t="s">
        <v>4494</v>
      </c>
      <c r="B53">
        <v>38</v>
      </c>
      <c r="C53" t="str">
        <f t="shared" si="0"/>
        <v xml:space="preserve"> </v>
      </c>
      <c r="D53" t="str">
        <f>IF(COUNTIFS(Tabella1[Città], A53, Tabella1[Categoria],"ALLOGGI AGRITURISTICI")&gt;0,"SI","NO")</f>
        <v>SI</v>
      </c>
      <c r="E53" t="str">
        <f>IF(COUNTIFS(Tabella1[Città], A53, Tabella1[Categoria],"ALBERGHI")&gt;0,"SI","NO")</f>
        <v>SI</v>
      </c>
    </row>
    <row r="54" spans="1:5" x14ac:dyDescent="0.3">
      <c r="A54" t="s">
        <v>4528</v>
      </c>
      <c r="B54">
        <v>90</v>
      </c>
      <c r="C54" t="str">
        <f t="shared" si="0"/>
        <v xml:space="preserve"> </v>
      </c>
      <c r="D54" t="str">
        <f>IF(COUNTIFS(Tabella1[Città], A54, Tabella1[Categoria],"ALLOGGI AGRITURISTICI")&gt;0,"SI","NO")</f>
        <v>SI</v>
      </c>
      <c r="E54" t="str">
        <f>IF(COUNTIFS(Tabella1[Città], A54, Tabella1[Categoria],"ALBERGHI")&gt;0,"SI","NO")</f>
        <v>NO</v>
      </c>
    </row>
    <row r="55" spans="1:5" x14ac:dyDescent="0.3">
      <c r="A55" t="s">
        <v>4551</v>
      </c>
      <c r="B55">
        <v>66</v>
      </c>
      <c r="C55" t="str">
        <f t="shared" si="0"/>
        <v xml:space="preserve"> </v>
      </c>
      <c r="D55" t="str">
        <f>IF(COUNTIFS(Tabella1[Città], A55, Tabella1[Categoria],"ALLOGGI AGRITURISTICI")&gt;0,"SI","NO")</f>
        <v>SI</v>
      </c>
      <c r="E55" t="str">
        <f>IF(COUNTIFS(Tabella1[Città], A55, Tabella1[Categoria],"ALBERGHI")&gt;0,"SI","NO")</f>
        <v>NO</v>
      </c>
    </row>
    <row r="56" spans="1:5" x14ac:dyDescent="0.3">
      <c r="A56" t="s">
        <v>4579</v>
      </c>
      <c r="B56">
        <v>34</v>
      </c>
      <c r="C56" t="str">
        <f t="shared" si="0"/>
        <v xml:space="preserve"> </v>
      </c>
      <c r="D56" t="str">
        <f>IF(COUNTIFS(Tabella1[Città], A56, Tabella1[Categoria],"ALLOGGI AGRITURISTICI")&gt;0,"SI","NO")</f>
        <v>SI</v>
      </c>
      <c r="E56" t="str">
        <f>IF(COUNTIFS(Tabella1[Città], A56, Tabella1[Categoria],"ALBERGHI")&gt;0,"SI","NO")</f>
        <v>SI</v>
      </c>
    </row>
    <row r="57" spans="1:5" x14ac:dyDescent="0.3">
      <c r="A57" t="s">
        <v>4631</v>
      </c>
      <c r="B57">
        <v>103</v>
      </c>
      <c r="C57" t="str">
        <f t="shared" si="0"/>
        <v xml:space="preserve"> </v>
      </c>
      <c r="D57" t="str">
        <f>IF(COUNTIFS(Tabella1[Città], A57, Tabella1[Categoria],"ALLOGGI AGRITURISTICI")&gt;0,"SI","NO")</f>
        <v>SI</v>
      </c>
      <c r="E57" t="str">
        <f>IF(COUNTIFS(Tabella1[Città], A57, Tabella1[Categoria],"ALBERGHI")&gt;0,"SI","NO")</f>
        <v>SI</v>
      </c>
    </row>
    <row r="58" spans="1:5" x14ac:dyDescent="0.3">
      <c r="A58" t="s">
        <v>4658</v>
      </c>
      <c r="B58">
        <v>120</v>
      </c>
      <c r="C58" t="str">
        <f t="shared" si="0"/>
        <v xml:space="preserve"> </v>
      </c>
      <c r="D58" t="str">
        <f>IF(COUNTIFS(Tabella1[Città], A58, Tabella1[Categoria],"ALLOGGI AGRITURISTICI")&gt;0,"SI","NO")</f>
        <v>SI</v>
      </c>
      <c r="E58" t="str">
        <f>IF(COUNTIFS(Tabella1[Città], A58, Tabella1[Categoria],"ALBERGHI")&gt;0,"SI","NO")</f>
        <v>SI</v>
      </c>
    </row>
    <row r="59" spans="1:5" x14ac:dyDescent="0.3">
      <c r="A59" t="s">
        <v>4736</v>
      </c>
      <c r="B59">
        <v>72</v>
      </c>
      <c r="C59" t="str">
        <f t="shared" si="0"/>
        <v xml:space="preserve"> </v>
      </c>
      <c r="D59" t="str">
        <f>IF(COUNTIFS(Tabella1[Città], A59, Tabella1[Categoria],"ALLOGGI AGRITURISTICI")&gt;0,"SI","NO")</f>
        <v>SI</v>
      </c>
      <c r="E59" t="str">
        <f>IF(COUNTIFS(Tabella1[Città], A59, Tabella1[Categoria],"ALBERGHI")&gt;0,"SI","NO")</f>
        <v>SI</v>
      </c>
    </row>
    <row r="60" spans="1:5" x14ac:dyDescent="0.3">
      <c r="A60" t="s">
        <v>5360</v>
      </c>
      <c r="B60">
        <v>39</v>
      </c>
      <c r="C60" t="str">
        <f t="shared" si="0"/>
        <v xml:space="preserve"> </v>
      </c>
      <c r="D60" t="str">
        <f>IF(COUNTIFS(Tabella1[Città], A60, Tabella1[Categoria],"ALLOGGI AGRITURISTICI")&gt;0,"SI","NO")</f>
        <v>SI</v>
      </c>
      <c r="E60" t="str">
        <f>IF(COUNTIFS(Tabella1[Città], A60, Tabella1[Categoria],"ALBERGHI")&gt;0,"SI","NO")</f>
        <v>SI</v>
      </c>
    </row>
    <row r="61" spans="1:5" x14ac:dyDescent="0.3">
      <c r="A61" t="s">
        <v>5425</v>
      </c>
      <c r="B61">
        <v>81</v>
      </c>
      <c r="C61" t="str">
        <f t="shared" si="0"/>
        <v xml:space="preserve"> </v>
      </c>
      <c r="D61" t="str">
        <f>IF(COUNTIFS(Tabella1[Città], A61, Tabella1[Categoria],"ALLOGGI AGRITURISTICI")&gt;0,"SI","NO")</f>
        <v>NO</v>
      </c>
      <c r="E61" t="str">
        <f>IF(COUNTIFS(Tabella1[Città], A61, Tabella1[Categoria],"ALBERGHI")&gt;0,"SI","NO")</f>
        <v>SI</v>
      </c>
    </row>
    <row r="62" spans="1:5" x14ac:dyDescent="0.3">
      <c r="A62" t="s">
        <v>1865</v>
      </c>
      <c r="B62">
        <v>34</v>
      </c>
      <c r="C62" t="str">
        <f t="shared" si="0"/>
        <v xml:space="preserve"> </v>
      </c>
      <c r="D62" t="str">
        <f>IF(COUNTIFS(Tabella1[Città], A62, Tabella1[Categoria],"ALLOGGI AGRITURISTICI")&gt;0,"SI","NO")</f>
        <v>SI</v>
      </c>
      <c r="E62" t="str">
        <f>IF(COUNTIFS(Tabella1[Città], A62, Tabella1[Categoria],"ALBERGHI")&gt;0,"SI","NO")</f>
        <v>SI</v>
      </c>
    </row>
    <row r="63" spans="1:5" x14ac:dyDescent="0.3">
      <c r="A63" t="s">
        <v>6051</v>
      </c>
      <c r="B63">
        <v>49</v>
      </c>
      <c r="C63" t="str">
        <f t="shared" si="0"/>
        <v xml:space="preserve"> </v>
      </c>
      <c r="D63" t="str">
        <f>IF(COUNTIFS(Tabella1[Città], A63, Tabella1[Categoria],"ALLOGGI AGRITURISTICI")&gt;0,"SI","NO")</f>
        <v>SI</v>
      </c>
      <c r="E63" t="str">
        <f>IF(COUNTIFS(Tabella1[Città], A63, Tabella1[Categoria],"ALBERGHI")&gt;0,"SI","NO")</f>
        <v>SI</v>
      </c>
    </row>
    <row r="64" spans="1:5" x14ac:dyDescent="0.3">
      <c r="A64" t="s">
        <v>6264</v>
      </c>
      <c r="B64">
        <v>52</v>
      </c>
      <c r="C64" t="str">
        <f t="shared" si="0"/>
        <v xml:space="preserve"> </v>
      </c>
      <c r="D64" t="str">
        <f>IF(COUNTIFS(Tabella1[Città], A64, Tabella1[Categoria],"ALLOGGI AGRITURISTICI")&gt;0,"SI","NO")</f>
        <v>SI</v>
      </c>
      <c r="E64" t="str">
        <f>IF(COUNTIFS(Tabella1[Città], A64, Tabella1[Categoria],"ALBERGHI")&gt;0,"SI","NO")</f>
        <v>NO</v>
      </c>
    </row>
    <row r="65" spans="1:5" x14ac:dyDescent="0.3">
      <c r="A65" t="s">
        <v>6292</v>
      </c>
      <c r="B65">
        <v>43</v>
      </c>
      <c r="C65" t="str">
        <f t="shared" si="0"/>
        <v xml:space="preserve"> </v>
      </c>
      <c r="D65" t="str">
        <f>IF(COUNTIFS(Tabella1[Città], A65, Tabella1[Categoria],"ALLOGGI AGRITURISTICI")&gt;0,"SI","NO")</f>
        <v>SI</v>
      </c>
      <c r="E65" t="str">
        <f>IF(COUNTIFS(Tabella1[Città], A65, Tabella1[Categoria],"ALBERGHI")&gt;0,"SI","NO")</f>
        <v>SI</v>
      </c>
    </row>
    <row r="66" spans="1:5" x14ac:dyDescent="0.3">
      <c r="A66" t="s">
        <v>6346</v>
      </c>
      <c r="B66">
        <v>55</v>
      </c>
      <c r="C66" t="str">
        <f t="shared" si="0"/>
        <v xml:space="preserve"> </v>
      </c>
      <c r="D66" t="str">
        <f>IF(COUNTIFS(Tabella1[Città], A66, Tabella1[Categoria],"ALLOGGI AGRITURISTICI")&gt;0,"SI","NO")</f>
        <v>SI</v>
      </c>
      <c r="E66" t="str">
        <f>IF(COUNTIFS(Tabella1[Città], A66, Tabella1[Categoria],"ALBERGHI")&gt;0,"SI","NO")</f>
        <v>NO</v>
      </c>
    </row>
    <row r="67" spans="1:5" x14ac:dyDescent="0.3">
      <c r="A67" t="s">
        <v>6359</v>
      </c>
      <c r="B67">
        <v>108</v>
      </c>
      <c r="C67" t="str">
        <f t="shared" ref="C67:C130" si="1">IF(OR(B67&lt;$M$5,B67&gt;$M$4),"OUTLIER"," ")</f>
        <v xml:space="preserve"> </v>
      </c>
      <c r="D67" t="str">
        <f>IF(COUNTIFS(Tabella1[Città], A67, Tabella1[Categoria],"ALLOGGI AGRITURISTICI")&gt;0,"SI","NO")</f>
        <v>SI</v>
      </c>
      <c r="E67" t="str">
        <f>IF(COUNTIFS(Tabella1[Città], A67, Tabella1[Categoria],"ALBERGHI")&gt;0,"SI","NO")</f>
        <v>NO</v>
      </c>
    </row>
    <row r="68" spans="1:5" x14ac:dyDescent="0.3">
      <c r="A68" t="s">
        <v>6373</v>
      </c>
      <c r="B68">
        <v>37</v>
      </c>
      <c r="C68" t="str">
        <f t="shared" si="1"/>
        <v xml:space="preserve"> </v>
      </c>
      <c r="D68" t="str">
        <f>IF(COUNTIFS(Tabella1[Città], A68, Tabella1[Categoria],"ALLOGGI AGRITURISTICI")&gt;0,"SI","NO")</f>
        <v>SI</v>
      </c>
      <c r="E68" t="str">
        <f>IF(COUNTIFS(Tabella1[Città], A68, Tabella1[Categoria],"ALBERGHI")&gt;0,"SI","NO")</f>
        <v>SI</v>
      </c>
    </row>
    <row r="69" spans="1:5" x14ac:dyDescent="0.3">
      <c r="A69" t="s">
        <v>6458</v>
      </c>
      <c r="B69">
        <v>65</v>
      </c>
      <c r="C69" t="str">
        <f t="shared" si="1"/>
        <v xml:space="preserve"> </v>
      </c>
      <c r="D69" t="str">
        <f>IF(COUNTIFS(Tabella1[Città], A69, Tabella1[Categoria],"ALLOGGI AGRITURISTICI")&gt;0,"SI","NO")</f>
        <v>SI</v>
      </c>
      <c r="E69" t="str">
        <f>IF(COUNTIFS(Tabella1[Città], A69, Tabella1[Categoria],"ALBERGHI")&gt;0,"SI","NO")</f>
        <v>SI</v>
      </c>
    </row>
    <row r="70" spans="1:5" x14ac:dyDescent="0.3">
      <c r="A70" t="s">
        <v>6469</v>
      </c>
      <c r="B70">
        <v>78</v>
      </c>
      <c r="C70" t="str">
        <f t="shared" si="1"/>
        <v xml:space="preserve"> </v>
      </c>
      <c r="D70" t="str">
        <f>IF(COUNTIFS(Tabella1[Città], A70, Tabella1[Categoria],"ALLOGGI AGRITURISTICI")&gt;0,"SI","NO")</f>
        <v>SI</v>
      </c>
      <c r="E70" t="str">
        <f>IF(COUNTIFS(Tabella1[Città], A70, Tabella1[Categoria],"ALBERGHI")&gt;0,"SI","NO")</f>
        <v>SI</v>
      </c>
    </row>
    <row r="71" spans="1:5" x14ac:dyDescent="0.3">
      <c r="A71" t="s">
        <v>6499</v>
      </c>
      <c r="B71">
        <v>115</v>
      </c>
      <c r="C71" t="str">
        <f t="shared" si="1"/>
        <v xml:space="preserve"> </v>
      </c>
      <c r="D71" t="str">
        <f>IF(COUNTIFS(Tabella1[Città], A71, Tabella1[Categoria],"ALLOGGI AGRITURISTICI")&gt;0,"SI","NO")</f>
        <v>SI</v>
      </c>
      <c r="E71" t="str">
        <f>IF(COUNTIFS(Tabella1[Città], A71, Tabella1[Categoria],"ALBERGHI")&gt;0,"SI","NO")</f>
        <v>SI</v>
      </c>
    </row>
    <row r="72" spans="1:5" x14ac:dyDescent="0.3">
      <c r="A72" t="s">
        <v>6522</v>
      </c>
      <c r="B72">
        <v>52</v>
      </c>
      <c r="C72" t="str">
        <f t="shared" si="1"/>
        <v xml:space="preserve"> </v>
      </c>
      <c r="D72" t="str">
        <f>IF(COUNTIFS(Tabella1[Città], A72, Tabella1[Categoria],"ALLOGGI AGRITURISTICI")&gt;0,"SI","NO")</f>
        <v>NO</v>
      </c>
      <c r="E72" t="str">
        <f>IF(COUNTIFS(Tabella1[Città], A72, Tabella1[Categoria],"ALBERGHI")&gt;0,"SI","NO")</f>
        <v>SI</v>
      </c>
    </row>
    <row r="73" spans="1:5" x14ac:dyDescent="0.3">
      <c r="A73" t="s">
        <v>6538</v>
      </c>
      <c r="B73">
        <v>75</v>
      </c>
      <c r="C73" t="str">
        <f t="shared" si="1"/>
        <v xml:space="preserve"> </v>
      </c>
      <c r="D73" t="str">
        <f>IF(COUNTIFS(Tabella1[Città], A73, Tabella1[Categoria],"ALLOGGI AGRITURISTICI")&gt;0,"SI","NO")</f>
        <v>SI</v>
      </c>
      <c r="E73" t="str">
        <f>IF(COUNTIFS(Tabella1[Città], A73, Tabella1[Categoria],"ALBERGHI")&gt;0,"SI","NO")</f>
        <v>SI</v>
      </c>
    </row>
    <row r="74" spans="1:5" x14ac:dyDescent="0.3">
      <c r="A74" t="s">
        <v>6654</v>
      </c>
      <c r="B74">
        <v>39</v>
      </c>
      <c r="C74" t="str">
        <f t="shared" si="1"/>
        <v xml:space="preserve"> </v>
      </c>
      <c r="D74" t="str">
        <f>IF(COUNTIFS(Tabella1[Città], A74, Tabella1[Categoria],"ALLOGGI AGRITURISTICI")&gt;0,"SI","NO")</f>
        <v>SI</v>
      </c>
      <c r="E74" t="str">
        <f>IF(COUNTIFS(Tabella1[Città], A74, Tabella1[Categoria],"ALBERGHI")&gt;0,"SI","NO")</f>
        <v>NO</v>
      </c>
    </row>
    <row r="75" spans="1:5" x14ac:dyDescent="0.3">
      <c r="A75" t="s">
        <v>6792</v>
      </c>
      <c r="B75">
        <v>40</v>
      </c>
      <c r="C75" t="str">
        <f t="shared" si="1"/>
        <v xml:space="preserve"> </v>
      </c>
      <c r="D75" t="str">
        <f>IF(COUNTIFS(Tabella1[Città], A75, Tabella1[Categoria],"ALLOGGI AGRITURISTICI")&gt;0,"SI","NO")</f>
        <v>SI</v>
      </c>
      <c r="E75" t="str">
        <f>IF(COUNTIFS(Tabella1[Città], A75, Tabella1[Categoria],"ALBERGHI")&gt;0,"SI","NO")</f>
        <v>SI</v>
      </c>
    </row>
    <row r="76" spans="1:5" x14ac:dyDescent="0.3">
      <c r="A76" t="s">
        <v>5737</v>
      </c>
      <c r="B76">
        <v>34</v>
      </c>
      <c r="C76" t="str">
        <f t="shared" si="1"/>
        <v xml:space="preserve"> </v>
      </c>
      <c r="D76" t="str">
        <f>IF(COUNTIFS(Tabella1[Città], A76, Tabella1[Categoria],"ALLOGGI AGRITURISTICI")&gt;0,"SI","NO")</f>
        <v>NO</v>
      </c>
      <c r="E76" t="str">
        <f>IF(COUNTIFS(Tabella1[Città], A76, Tabella1[Categoria],"ALBERGHI")&gt;0,"SI","NO")</f>
        <v>SI</v>
      </c>
    </row>
    <row r="77" spans="1:5" x14ac:dyDescent="0.3">
      <c r="A77" t="s">
        <v>7163</v>
      </c>
      <c r="B77">
        <v>60</v>
      </c>
      <c r="C77" t="str">
        <f t="shared" si="1"/>
        <v xml:space="preserve"> </v>
      </c>
      <c r="D77" t="str">
        <f>IF(COUNTIFS(Tabella1[Città], A77, Tabella1[Categoria],"ALLOGGI AGRITURISTICI")&gt;0,"SI","NO")</f>
        <v>SI</v>
      </c>
      <c r="E77" t="str">
        <f>IF(COUNTIFS(Tabella1[Città], A77, Tabella1[Categoria],"ALBERGHI")&gt;0,"SI","NO")</f>
        <v>SI</v>
      </c>
    </row>
    <row r="78" spans="1:5" x14ac:dyDescent="0.3">
      <c r="A78" t="s">
        <v>7202</v>
      </c>
      <c r="B78">
        <v>93</v>
      </c>
      <c r="C78" t="str">
        <f t="shared" si="1"/>
        <v xml:space="preserve"> </v>
      </c>
      <c r="D78" t="str">
        <f>IF(COUNTIFS(Tabella1[Città], A78, Tabella1[Categoria],"ALLOGGI AGRITURISTICI")&gt;0,"SI","NO")</f>
        <v>SI</v>
      </c>
      <c r="E78" t="str">
        <f>IF(COUNTIFS(Tabella1[Città], A78, Tabella1[Categoria],"ALBERGHI")&gt;0,"SI","NO")</f>
        <v>SI</v>
      </c>
    </row>
    <row r="79" spans="1:5" x14ac:dyDescent="0.3">
      <c r="A79" t="s">
        <v>7256</v>
      </c>
      <c r="B79">
        <v>120</v>
      </c>
      <c r="C79" t="str">
        <f t="shared" si="1"/>
        <v xml:space="preserve"> </v>
      </c>
      <c r="D79" t="str">
        <f>IF(COUNTIFS(Tabella1[Città], A79, Tabella1[Categoria],"ALLOGGI AGRITURISTICI")&gt;0,"SI","NO")</f>
        <v>SI</v>
      </c>
      <c r="E79" t="str">
        <f>IF(COUNTIFS(Tabella1[Città], A79, Tabella1[Categoria],"ALBERGHI")&gt;0,"SI","NO")</f>
        <v>SI</v>
      </c>
    </row>
    <row r="80" spans="1:5" x14ac:dyDescent="0.3">
      <c r="A80" t="s">
        <v>7388</v>
      </c>
      <c r="B80">
        <v>81</v>
      </c>
      <c r="C80" t="str">
        <f t="shared" si="1"/>
        <v xml:space="preserve"> </v>
      </c>
      <c r="D80" t="str">
        <f>IF(COUNTIFS(Tabella1[Città], A80, Tabella1[Categoria],"ALLOGGI AGRITURISTICI")&gt;0,"SI","NO")</f>
        <v>SI</v>
      </c>
      <c r="E80" t="str">
        <f>IF(COUNTIFS(Tabella1[Città], A80, Tabella1[Categoria],"ALBERGHI")&gt;0,"SI","NO")</f>
        <v>SI</v>
      </c>
    </row>
    <row r="81" spans="1:5" x14ac:dyDescent="0.3">
      <c r="A81" t="s">
        <v>7574</v>
      </c>
      <c r="B81">
        <v>33</v>
      </c>
      <c r="C81" t="str">
        <f t="shared" si="1"/>
        <v xml:space="preserve"> </v>
      </c>
      <c r="D81" t="str">
        <f>IF(COUNTIFS(Tabella1[Città], A81, Tabella1[Categoria],"ALLOGGI AGRITURISTICI")&gt;0,"SI","NO")</f>
        <v>SI</v>
      </c>
      <c r="E81" t="str">
        <f>IF(COUNTIFS(Tabella1[Città], A81, Tabella1[Categoria],"ALBERGHI")&gt;0,"SI","NO")</f>
        <v>SI</v>
      </c>
    </row>
    <row r="82" spans="1:5" x14ac:dyDescent="0.3">
      <c r="A82" t="s">
        <v>7614</v>
      </c>
      <c r="B82">
        <v>73</v>
      </c>
      <c r="C82" t="str">
        <f t="shared" si="1"/>
        <v xml:space="preserve"> </v>
      </c>
      <c r="D82" t="str">
        <f>IF(COUNTIFS(Tabella1[Città], A82, Tabella1[Categoria],"ALLOGGI AGRITURISTICI")&gt;0,"SI","NO")</f>
        <v>SI</v>
      </c>
      <c r="E82" t="str">
        <f>IF(COUNTIFS(Tabella1[Città], A82, Tabella1[Categoria],"ALBERGHI")&gt;0,"SI","NO")</f>
        <v>SI</v>
      </c>
    </row>
    <row r="83" spans="1:5" x14ac:dyDescent="0.3">
      <c r="A83" t="s">
        <v>7663</v>
      </c>
      <c r="B83">
        <v>41</v>
      </c>
      <c r="C83" t="str">
        <f t="shared" si="1"/>
        <v xml:space="preserve"> </v>
      </c>
      <c r="D83" t="str">
        <f>IF(COUNTIFS(Tabella1[Città], A83, Tabella1[Categoria],"ALLOGGI AGRITURISTICI")&gt;0,"SI","NO")</f>
        <v>NO</v>
      </c>
      <c r="E83" t="str">
        <f>IF(COUNTIFS(Tabella1[Città], A83, Tabella1[Categoria],"ALBERGHI")&gt;0,"SI","NO")</f>
        <v>SI</v>
      </c>
    </row>
    <row r="84" spans="1:5" x14ac:dyDescent="0.3">
      <c r="A84" t="s">
        <v>7681</v>
      </c>
      <c r="B84">
        <v>58</v>
      </c>
      <c r="C84" t="str">
        <f t="shared" si="1"/>
        <v xml:space="preserve"> </v>
      </c>
      <c r="D84" t="str">
        <f>IF(COUNTIFS(Tabella1[Città], A84, Tabella1[Categoria],"ALLOGGI AGRITURISTICI")&gt;0,"SI","NO")</f>
        <v>SI</v>
      </c>
      <c r="E84" t="str">
        <f>IF(COUNTIFS(Tabella1[Città], A84, Tabella1[Categoria],"ALBERGHI")&gt;0,"SI","NO")</f>
        <v>NO</v>
      </c>
    </row>
    <row r="85" spans="1:5" x14ac:dyDescent="0.3">
      <c r="A85" t="s">
        <v>7721</v>
      </c>
      <c r="B85">
        <v>37</v>
      </c>
      <c r="C85" t="str">
        <f t="shared" si="1"/>
        <v xml:space="preserve"> </v>
      </c>
      <c r="D85" t="str">
        <f>IF(COUNTIFS(Tabella1[Città], A85, Tabella1[Categoria],"ALLOGGI AGRITURISTICI")&gt;0,"SI","NO")</f>
        <v>SI</v>
      </c>
      <c r="E85" t="str">
        <f>IF(COUNTIFS(Tabella1[Città], A85, Tabella1[Categoria],"ALBERGHI")&gt;0,"SI","NO")</f>
        <v>SI</v>
      </c>
    </row>
    <row r="86" spans="1:5" x14ac:dyDescent="0.3">
      <c r="A86" t="s">
        <v>7814</v>
      </c>
      <c r="B86">
        <v>68</v>
      </c>
      <c r="C86" t="str">
        <f t="shared" si="1"/>
        <v xml:space="preserve"> </v>
      </c>
      <c r="D86" t="str">
        <f>IF(COUNTIFS(Tabella1[Città], A86, Tabella1[Categoria],"ALLOGGI AGRITURISTICI")&gt;0,"SI","NO")</f>
        <v>SI</v>
      </c>
      <c r="E86" t="str">
        <f>IF(COUNTIFS(Tabella1[Città], A86, Tabella1[Categoria],"ALBERGHI")&gt;0,"SI","NO")</f>
        <v>NO</v>
      </c>
    </row>
    <row r="87" spans="1:5" x14ac:dyDescent="0.3">
      <c r="A87" t="s">
        <v>7827</v>
      </c>
      <c r="B87">
        <v>74</v>
      </c>
      <c r="C87" t="str">
        <f t="shared" si="1"/>
        <v xml:space="preserve"> </v>
      </c>
      <c r="D87" t="str">
        <f>IF(COUNTIFS(Tabella1[Città], A87, Tabella1[Categoria],"ALLOGGI AGRITURISTICI")&gt;0,"SI","NO")</f>
        <v>SI</v>
      </c>
      <c r="E87" t="str">
        <f>IF(COUNTIFS(Tabella1[Città], A87, Tabella1[Categoria],"ALBERGHI")&gt;0,"SI","NO")</f>
        <v>NO</v>
      </c>
    </row>
    <row r="88" spans="1:5" x14ac:dyDescent="0.3">
      <c r="A88" t="s">
        <v>7852</v>
      </c>
      <c r="B88">
        <v>116</v>
      </c>
      <c r="C88" t="str">
        <f t="shared" si="1"/>
        <v xml:space="preserve"> </v>
      </c>
      <c r="D88" t="str">
        <f>IF(COUNTIFS(Tabella1[Città], A88, Tabella1[Categoria],"ALLOGGI AGRITURISTICI")&gt;0,"SI","NO")</f>
        <v>NO</v>
      </c>
      <c r="E88" t="str">
        <f>IF(COUNTIFS(Tabella1[Città], A88, Tabella1[Categoria],"ALBERGHI")&gt;0,"SI","NO")</f>
        <v>SI</v>
      </c>
    </row>
    <row r="89" spans="1:5" x14ac:dyDescent="0.3">
      <c r="A89" t="s">
        <v>7892</v>
      </c>
      <c r="B89">
        <v>87</v>
      </c>
      <c r="C89" t="str">
        <f t="shared" si="1"/>
        <v xml:space="preserve"> </v>
      </c>
      <c r="D89" t="str">
        <f>IF(COUNTIFS(Tabella1[Città], A89, Tabella1[Categoria],"ALLOGGI AGRITURISTICI")&gt;0,"SI","NO")</f>
        <v>SI</v>
      </c>
      <c r="E89" t="str">
        <f>IF(COUNTIFS(Tabella1[Città], A89, Tabella1[Categoria],"ALBERGHI")&gt;0,"SI","NO")</f>
        <v>SI</v>
      </c>
    </row>
    <row r="90" spans="1:5" x14ac:dyDescent="0.3">
      <c r="A90" t="s">
        <v>8414</v>
      </c>
      <c r="B90">
        <v>65</v>
      </c>
      <c r="C90" t="str">
        <f t="shared" si="1"/>
        <v xml:space="preserve"> </v>
      </c>
      <c r="D90" t="str">
        <f>IF(COUNTIFS(Tabella1[Città], A90, Tabella1[Categoria],"ALLOGGI AGRITURISTICI")&gt;0,"SI","NO")</f>
        <v>SI</v>
      </c>
      <c r="E90" t="str">
        <f>IF(COUNTIFS(Tabella1[Città], A90, Tabella1[Categoria],"ALBERGHI")&gt;0,"SI","NO")</f>
        <v>SI</v>
      </c>
    </row>
    <row r="91" spans="1:5" x14ac:dyDescent="0.3">
      <c r="A91" t="s">
        <v>8457</v>
      </c>
      <c r="B91">
        <v>32</v>
      </c>
      <c r="C91" t="str">
        <f t="shared" si="1"/>
        <v xml:space="preserve"> </v>
      </c>
      <c r="D91" t="str">
        <f>IF(COUNTIFS(Tabella1[Città], A91, Tabella1[Categoria],"ALLOGGI AGRITURISTICI")&gt;0,"SI","NO")</f>
        <v>SI</v>
      </c>
      <c r="E91" t="str">
        <f>IF(COUNTIFS(Tabella1[Città], A91, Tabella1[Categoria],"ALBERGHI")&gt;0,"SI","NO")</f>
        <v>SI</v>
      </c>
    </row>
    <row r="92" spans="1:5" x14ac:dyDescent="0.3">
      <c r="A92" t="s">
        <v>8611</v>
      </c>
      <c r="B92">
        <v>101</v>
      </c>
      <c r="C92" t="str">
        <f t="shared" si="1"/>
        <v xml:space="preserve"> </v>
      </c>
      <c r="D92" t="str">
        <f>IF(COUNTIFS(Tabella1[Città], A92, Tabella1[Categoria],"ALLOGGI AGRITURISTICI")&gt;0,"SI","NO")</f>
        <v>SI</v>
      </c>
      <c r="E92" t="str">
        <f>IF(COUNTIFS(Tabella1[Città], A92, Tabella1[Categoria],"ALBERGHI")&gt;0,"SI","NO")</f>
        <v>SI</v>
      </c>
    </row>
    <row r="93" spans="1:5" x14ac:dyDescent="0.3">
      <c r="A93" t="s">
        <v>8686</v>
      </c>
      <c r="B93">
        <v>59</v>
      </c>
      <c r="C93" t="str">
        <f t="shared" si="1"/>
        <v xml:space="preserve"> </v>
      </c>
      <c r="D93" t="str">
        <f>IF(COUNTIFS(Tabella1[Città], A93, Tabella1[Categoria],"ALLOGGI AGRITURISTICI")&gt;0,"SI","NO")</f>
        <v>SI</v>
      </c>
      <c r="E93" t="str">
        <f>IF(COUNTIFS(Tabella1[Città], A93, Tabella1[Categoria],"ALBERGHI")&gt;0,"SI","NO")</f>
        <v>NO</v>
      </c>
    </row>
    <row r="94" spans="1:5" x14ac:dyDescent="0.3">
      <c r="A94" t="s">
        <v>8722</v>
      </c>
      <c r="B94">
        <v>38</v>
      </c>
      <c r="C94" t="str">
        <f t="shared" si="1"/>
        <v xml:space="preserve"> </v>
      </c>
      <c r="D94" t="str">
        <f>IF(COUNTIFS(Tabella1[Città], A94, Tabella1[Categoria],"ALLOGGI AGRITURISTICI")&gt;0,"SI","NO")</f>
        <v>NO</v>
      </c>
      <c r="E94" t="str">
        <f>IF(COUNTIFS(Tabella1[Città], A94, Tabella1[Categoria],"ALBERGHI")&gt;0,"SI","NO")</f>
        <v>NO</v>
      </c>
    </row>
    <row r="95" spans="1:5" x14ac:dyDescent="0.3">
      <c r="A95" t="s">
        <v>8734</v>
      </c>
      <c r="B95">
        <v>119</v>
      </c>
      <c r="C95" t="str">
        <f t="shared" si="1"/>
        <v xml:space="preserve"> </v>
      </c>
      <c r="D95" t="str">
        <f>IF(COUNTIFS(Tabella1[Città], A95, Tabella1[Categoria],"ALLOGGI AGRITURISTICI")&gt;0,"SI","NO")</f>
        <v>SI</v>
      </c>
      <c r="E95" t="str">
        <f>IF(COUNTIFS(Tabella1[Città], A95, Tabella1[Categoria],"ALBERGHI")&gt;0,"SI","NO")</f>
        <v>SI</v>
      </c>
    </row>
    <row r="96" spans="1:5" x14ac:dyDescent="0.3">
      <c r="A96" t="s">
        <v>8766</v>
      </c>
      <c r="B96">
        <v>79</v>
      </c>
      <c r="C96" t="str">
        <f t="shared" si="1"/>
        <v xml:space="preserve"> </v>
      </c>
      <c r="D96" t="str">
        <f>IF(COUNTIFS(Tabella1[Città], A96, Tabella1[Categoria],"ALLOGGI AGRITURISTICI")&gt;0,"SI","NO")</f>
        <v>SI</v>
      </c>
      <c r="E96" t="str">
        <f>IF(COUNTIFS(Tabella1[Città], A96, Tabella1[Categoria],"ALBERGHI")&gt;0,"SI","NO")</f>
        <v>NO</v>
      </c>
    </row>
    <row r="97" spans="1:5" x14ac:dyDescent="0.3">
      <c r="A97" t="s">
        <v>8804</v>
      </c>
      <c r="B97">
        <v>61</v>
      </c>
      <c r="C97" t="str">
        <f t="shared" si="1"/>
        <v xml:space="preserve"> </v>
      </c>
      <c r="D97" t="str">
        <f>IF(COUNTIFS(Tabella1[Città], A97, Tabella1[Categoria],"ALLOGGI AGRITURISTICI")&gt;0,"SI","NO")</f>
        <v>SI</v>
      </c>
      <c r="E97" t="str">
        <f>IF(COUNTIFS(Tabella1[Città], A97, Tabella1[Categoria],"ALBERGHI")&gt;0,"SI","NO")</f>
        <v>SI</v>
      </c>
    </row>
    <row r="98" spans="1:5" x14ac:dyDescent="0.3">
      <c r="A98" t="s">
        <v>8834</v>
      </c>
      <c r="B98">
        <v>57</v>
      </c>
      <c r="C98" t="str">
        <f t="shared" si="1"/>
        <v xml:space="preserve"> </v>
      </c>
      <c r="D98" t="str">
        <f>IF(COUNTIFS(Tabella1[Città], A98, Tabella1[Categoria],"ALLOGGI AGRITURISTICI")&gt;0,"SI","NO")</f>
        <v>NO</v>
      </c>
      <c r="E98" t="str">
        <f>IF(COUNTIFS(Tabella1[Città], A98, Tabella1[Categoria],"ALBERGHI")&gt;0,"SI","NO")</f>
        <v>NO</v>
      </c>
    </row>
    <row r="99" spans="1:5" x14ac:dyDescent="0.3">
      <c r="A99" t="s">
        <v>8837</v>
      </c>
      <c r="B99">
        <v>75</v>
      </c>
      <c r="C99" t="str">
        <f t="shared" si="1"/>
        <v xml:space="preserve"> </v>
      </c>
      <c r="D99" t="str">
        <f>IF(COUNTIFS(Tabella1[Città], A99, Tabella1[Categoria],"ALLOGGI AGRITURISTICI")&gt;0,"SI","NO")</f>
        <v>SI</v>
      </c>
      <c r="E99" t="str">
        <f>IF(COUNTIFS(Tabella1[Città], A99, Tabella1[Categoria],"ALBERGHI")&gt;0,"SI","NO")</f>
        <v>NO</v>
      </c>
    </row>
    <row r="100" spans="1:5" x14ac:dyDescent="0.3">
      <c r="A100" t="s">
        <v>8852</v>
      </c>
      <c r="B100">
        <v>54</v>
      </c>
      <c r="C100" t="str">
        <f t="shared" si="1"/>
        <v xml:space="preserve"> </v>
      </c>
      <c r="D100" t="str">
        <f>IF(COUNTIFS(Tabella1[Città], A100, Tabella1[Categoria],"ALLOGGI AGRITURISTICI")&gt;0,"SI","NO")</f>
        <v>SI</v>
      </c>
      <c r="E100" t="str">
        <f>IF(COUNTIFS(Tabella1[Città], A100, Tabella1[Categoria],"ALBERGHI")&gt;0,"SI","NO")</f>
        <v>SI</v>
      </c>
    </row>
    <row r="101" spans="1:5" x14ac:dyDescent="0.3">
      <c r="A101" t="s">
        <v>8952</v>
      </c>
      <c r="B101">
        <v>59</v>
      </c>
      <c r="C101" t="str">
        <f t="shared" si="1"/>
        <v xml:space="preserve"> </v>
      </c>
      <c r="D101" t="str">
        <f>IF(COUNTIFS(Tabella1[Città], A101, Tabella1[Categoria],"ALLOGGI AGRITURISTICI")&gt;0,"SI","NO")</f>
        <v>SI</v>
      </c>
      <c r="E101" t="str">
        <f>IF(COUNTIFS(Tabella1[Città], A101, Tabella1[Categoria],"ALBERGHI")&gt;0,"SI","NO")</f>
        <v>SI</v>
      </c>
    </row>
    <row r="102" spans="1:5" x14ac:dyDescent="0.3">
      <c r="A102" t="s">
        <v>10077</v>
      </c>
      <c r="B102">
        <v>54</v>
      </c>
      <c r="C102" t="str">
        <f t="shared" si="1"/>
        <v xml:space="preserve"> </v>
      </c>
      <c r="D102" t="str">
        <f>IF(COUNTIFS(Tabella1[Città], A102, Tabella1[Categoria],"ALLOGGI AGRITURISTICI")&gt;0,"SI","NO")</f>
        <v>SI</v>
      </c>
      <c r="E102" t="str">
        <f>IF(COUNTIFS(Tabella1[Città], A102, Tabella1[Categoria],"ALBERGHI")&gt;0,"SI","NO")</f>
        <v>NO</v>
      </c>
    </row>
    <row r="103" spans="1:5" x14ac:dyDescent="0.3">
      <c r="A103" t="s">
        <v>10120</v>
      </c>
      <c r="B103">
        <v>51</v>
      </c>
      <c r="C103" t="str">
        <f t="shared" si="1"/>
        <v xml:space="preserve"> </v>
      </c>
      <c r="D103" t="str">
        <f>IF(COUNTIFS(Tabella1[Città], A103, Tabella1[Categoria],"ALLOGGI AGRITURISTICI")&gt;0,"SI","NO")</f>
        <v>SI</v>
      </c>
      <c r="E103" t="str">
        <f>IF(COUNTIFS(Tabella1[Città], A103, Tabella1[Categoria],"ALBERGHI")&gt;0,"SI","NO")</f>
        <v>NO</v>
      </c>
    </row>
    <row r="104" spans="1:5" x14ac:dyDescent="0.3">
      <c r="A104" t="s">
        <v>10209</v>
      </c>
      <c r="B104">
        <v>50</v>
      </c>
      <c r="C104" t="str">
        <f t="shared" si="1"/>
        <v xml:space="preserve"> </v>
      </c>
      <c r="D104" t="str">
        <f>IF(COUNTIFS(Tabella1[Città], A104, Tabella1[Categoria],"ALLOGGI AGRITURISTICI")&gt;0,"SI","NO")</f>
        <v>SI</v>
      </c>
      <c r="E104" t="str">
        <f>IF(COUNTIFS(Tabella1[Città], A104, Tabella1[Categoria],"ALBERGHI")&gt;0,"SI","NO")</f>
        <v>SI</v>
      </c>
    </row>
    <row r="105" spans="1:5" x14ac:dyDescent="0.3">
      <c r="A105" t="s">
        <v>10491</v>
      </c>
      <c r="B105">
        <v>49</v>
      </c>
      <c r="C105" t="str">
        <f t="shared" si="1"/>
        <v xml:space="preserve"> </v>
      </c>
      <c r="D105" t="str">
        <f>IF(COUNTIFS(Tabella1[Città], A105, Tabella1[Categoria],"ALLOGGI AGRITURISTICI")&gt;0,"SI","NO")</f>
        <v>SI</v>
      </c>
      <c r="E105" t="str">
        <f>IF(COUNTIFS(Tabella1[Città], A105, Tabella1[Categoria],"ALBERGHI")&gt;0,"SI","NO")</f>
        <v>SI</v>
      </c>
    </row>
    <row r="106" spans="1:5" x14ac:dyDescent="0.3">
      <c r="A106" t="s">
        <v>10522</v>
      </c>
      <c r="B106">
        <v>115</v>
      </c>
      <c r="C106" t="str">
        <f t="shared" si="1"/>
        <v xml:space="preserve"> </v>
      </c>
      <c r="D106" t="str">
        <f>IF(COUNTIFS(Tabella1[Città], A106, Tabella1[Categoria],"ALLOGGI AGRITURISTICI")&gt;0,"SI","NO")</f>
        <v>SI</v>
      </c>
      <c r="E106" t="str">
        <f>IF(COUNTIFS(Tabella1[Città], A106, Tabella1[Categoria],"ALBERGHI")&gt;0,"SI","NO")</f>
        <v>SI</v>
      </c>
    </row>
    <row r="107" spans="1:5" x14ac:dyDescent="0.3">
      <c r="A107" t="s">
        <v>10592</v>
      </c>
      <c r="B107">
        <v>100</v>
      </c>
      <c r="C107" t="str">
        <f t="shared" si="1"/>
        <v xml:space="preserve"> </v>
      </c>
      <c r="D107" t="str">
        <f>IF(COUNTIFS(Tabella1[Città], A107, Tabella1[Categoria],"ALLOGGI AGRITURISTICI")&gt;0,"SI","NO")</f>
        <v>SI</v>
      </c>
      <c r="E107" t="str">
        <f>IF(COUNTIFS(Tabella1[Città], A107, Tabella1[Categoria],"ALBERGHI")&gt;0,"SI","NO")</f>
        <v>SI</v>
      </c>
    </row>
    <row r="108" spans="1:5" x14ac:dyDescent="0.3">
      <c r="A108" t="s">
        <v>10633</v>
      </c>
      <c r="B108">
        <v>50</v>
      </c>
      <c r="C108" t="str">
        <f t="shared" si="1"/>
        <v xml:space="preserve"> </v>
      </c>
      <c r="D108" t="str">
        <f>IF(COUNTIFS(Tabella1[Città], A108, Tabella1[Categoria],"ALLOGGI AGRITURISTICI")&gt;0,"SI","NO")</f>
        <v>SI</v>
      </c>
      <c r="E108" t="str">
        <f>IF(COUNTIFS(Tabella1[Città], A108, Tabella1[Categoria],"ALBERGHI")&gt;0,"SI","NO")</f>
        <v>SI</v>
      </c>
    </row>
    <row r="109" spans="1:5" x14ac:dyDescent="0.3">
      <c r="A109" t="s">
        <v>10657</v>
      </c>
      <c r="B109">
        <v>44</v>
      </c>
      <c r="C109" t="str">
        <f t="shared" si="1"/>
        <v xml:space="preserve"> </v>
      </c>
      <c r="D109" t="str">
        <f>IF(COUNTIFS(Tabella1[Città], A109, Tabella1[Categoria],"ALLOGGI AGRITURISTICI")&gt;0,"SI","NO")</f>
        <v>SI</v>
      </c>
      <c r="E109" t="str">
        <f>IF(COUNTIFS(Tabella1[Città], A109, Tabella1[Categoria],"ALBERGHI")&gt;0,"SI","NO")</f>
        <v>NO</v>
      </c>
    </row>
    <row r="110" spans="1:5" x14ac:dyDescent="0.3">
      <c r="A110" t="s">
        <v>10693</v>
      </c>
      <c r="B110">
        <v>42</v>
      </c>
      <c r="C110" t="str">
        <f t="shared" si="1"/>
        <v xml:space="preserve"> </v>
      </c>
      <c r="D110" t="str">
        <f>IF(COUNTIFS(Tabella1[Città], A110, Tabella1[Categoria],"ALLOGGI AGRITURISTICI")&gt;0,"SI","NO")</f>
        <v>NO</v>
      </c>
      <c r="E110" t="str">
        <f>IF(COUNTIFS(Tabella1[Città], A110, Tabella1[Categoria],"ALBERGHI")&gt;0,"SI","NO")</f>
        <v>SI</v>
      </c>
    </row>
    <row r="111" spans="1:5" x14ac:dyDescent="0.3">
      <c r="A111" t="s">
        <v>10705</v>
      </c>
      <c r="B111">
        <v>33</v>
      </c>
      <c r="C111" t="str">
        <f t="shared" si="1"/>
        <v xml:space="preserve"> </v>
      </c>
      <c r="D111" t="str">
        <f>IF(COUNTIFS(Tabella1[Città], A111, Tabella1[Categoria],"ALLOGGI AGRITURISTICI")&gt;0,"SI","NO")</f>
        <v>SI</v>
      </c>
      <c r="E111" t="str">
        <f>IF(COUNTIFS(Tabella1[Città], A111, Tabella1[Categoria],"ALBERGHI")&gt;0,"SI","NO")</f>
        <v>SI</v>
      </c>
    </row>
    <row r="112" spans="1:5" x14ac:dyDescent="0.3">
      <c r="A112" t="s">
        <v>10740</v>
      </c>
      <c r="B112">
        <v>88</v>
      </c>
      <c r="C112" t="str">
        <f t="shared" si="1"/>
        <v xml:space="preserve"> </v>
      </c>
      <c r="D112" t="str">
        <f>IF(COUNTIFS(Tabella1[Città], A112, Tabella1[Categoria],"ALLOGGI AGRITURISTICI")&gt;0,"SI","NO")</f>
        <v>SI</v>
      </c>
      <c r="E112" t="str">
        <f>IF(COUNTIFS(Tabella1[Città], A112, Tabella1[Categoria],"ALBERGHI")&gt;0,"SI","NO")</f>
        <v>SI</v>
      </c>
    </row>
    <row r="113" spans="1:5" x14ac:dyDescent="0.3">
      <c r="A113" t="s">
        <v>10915</v>
      </c>
      <c r="B113">
        <v>116</v>
      </c>
      <c r="C113" t="str">
        <f t="shared" si="1"/>
        <v xml:space="preserve"> </v>
      </c>
      <c r="D113" t="str">
        <f>IF(COUNTIFS(Tabella1[Città], A113, Tabella1[Categoria],"ALLOGGI AGRITURISTICI")&gt;0,"SI","NO")</f>
        <v>SI</v>
      </c>
      <c r="E113" t="str">
        <f>IF(COUNTIFS(Tabella1[Città], A113, Tabella1[Categoria],"ALBERGHI")&gt;0,"SI","NO")</f>
        <v>NO</v>
      </c>
    </row>
    <row r="114" spans="1:5" x14ac:dyDescent="0.3">
      <c r="A114" t="s">
        <v>10935</v>
      </c>
      <c r="B114">
        <v>32</v>
      </c>
      <c r="C114" t="str">
        <f t="shared" si="1"/>
        <v xml:space="preserve"> </v>
      </c>
      <c r="D114" t="str">
        <f>IF(COUNTIFS(Tabella1[Città], A114, Tabella1[Categoria],"ALLOGGI AGRITURISTICI")&gt;0,"SI","NO")</f>
        <v>SI</v>
      </c>
      <c r="E114" t="str">
        <f>IF(COUNTIFS(Tabella1[Città], A114, Tabella1[Categoria],"ALBERGHI")&gt;0,"SI","NO")</f>
        <v>SI</v>
      </c>
    </row>
    <row r="115" spans="1:5" x14ac:dyDescent="0.3">
      <c r="A115" t="s">
        <v>10993</v>
      </c>
      <c r="B115">
        <v>31</v>
      </c>
      <c r="C115" t="str">
        <f t="shared" si="1"/>
        <v xml:space="preserve"> </v>
      </c>
      <c r="D115" t="str">
        <f>IF(COUNTIFS(Tabella1[Città], A115, Tabella1[Categoria],"ALLOGGI AGRITURISTICI")&gt;0,"SI","NO")</f>
        <v>SI</v>
      </c>
      <c r="E115" t="str">
        <f>IF(COUNTIFS(Tabella1[Città], A115, Tabella1[Categoria],"ALBERGHI")&gt;0,"SI","NO")</f>
        <v>SI</v>
      </c>
    </row>
    <row r="116" spans="1:5" x14ac:dyDescent="0.3">
      <c r="A116" t="s">
        <v>11025</v>
      </c>
      <c r="B116">
        <v>76</v>
      </c>
      <c r="C116" t="str">
        <f t="shared" si="1"/>
        <v xml:space="preserve"> </v>
      </c>
      <c r="D116" t="str">
        <f>IF(COUNTIFS(Tabella1[Città], A116, Tabella1[Categoria],"ALLOGGI AGRITURISTICI")&gt;0,"SI","NO")</f>
        <v>SI</v>
      </c>
      <c r="E116" t="str">
        <f>IF(COUNTIFS(Tabella1[Città], A116, Tabella1[Categoria],"ALBERGHI")&gt;0,"SI","NO")</f>
        <v>NO</v>
      </c>
    </row>
    <row r="117" spans="1:5" x14ac:dyDescent="0.3">
      <c r="A117" t="s">
        <v>11061</v>
      </c>
      <c r="B117">
        <v>76</v>
      </c>
      <c r="C117" t="str">
        <f t="shared" si="1"/>
        <v xml:space="preserve"> </v>
      </c>
      <c r="D117" t="str">
        <f>IF(COUNTIFS(Tabella1[Città], A117, Tabella1[Categoria],"ALLOGGI AGRITURISTICI")&gt;0,"SI","NO")</f>
        <v>SI</v>
      </c>
      <c r="E117" t="str">
        <f>IF(COUNTIFS(Tabella1[Città], A117, Tabella1[Categoria],"ALBERGHI")&gt;0,"SI","NO")</f>
        <v>SI</v>
      </c>
    </row>
    <row r="118" spans="1:5" x14ac:dyDescent="0.3">
      <c r="A118" t="s">
        <v>11247</v>
      </c>
      <c r="B118">
        <v>40</v>
      </c>
      <c r="C118" t="str">
        <f t="shared" si="1"/>
        <v xml:space="preserve"> </v>
      </c>
      <c r="D118" t="str">
        <f>IF(COUNTIFS(Tabella1[Città], A118, Tabella1[Categoria],"ALLOGGI AGRITURISTICI")&gt;0,"SI","NO")</f>
        <v>SI</v>
      </c>
      <c r="E118" t="str">
        <f>IF(COUNTIFS(Tabella1[Città], A118, Tabella1[Categoria],"ALBERGHI")&gt;0,"SI","NO")</f>
        <v>SI</v>
      </c>
    </row>
    <row r="119" spans="1:5" x14ac:dyDescent="0.3">
      <c r="A119" t="s">
        <v>11719</v>
      </c>
      <c r="B119">
        <v>103</v>
      </c>
      <c r="C119" t="str">
        <f t="shared" si="1"/>
        <v xml:space="preserve"> </v>
      </c>
      <c r="D119" t="str">
        <f>IF(COUNTIFS(Tabella1[Città], A119, Tabella1[Categoria],"ALLOGGI AGRITURISTICI")&gt;0,"SI","NO")</f>
        <v>SI</v>
      </c>
      <c r="E119" t="str">
        <f>IF(COUNTIFS(Tabella1[Città], A119, Tabella1[Categoria],"ALBERGHI")&gt;0,"SI","NO")</f>
        <v>SI</v>
      </c>
    </row>
    <row r="120" spans="1:5" x14ac:dyDescent="0.3">
      <c r="A120" t="s">
        <v>11731</v>
      </c>
      <c r="B120">
        <v>72</v>
      </c>
      <c r="C120" t="str">
        <f t="shared" si="1"/>
        <v xml:space="preserve"> </v>
      </c>
      <c r="D120" t="str">
        <f>IF(COUNTIFS(Tabella1[Città], A120, Tabella1[Categoria],"ALLOGGI AGRITURISTICI")&gt;0,"SI","NO")</f>
        <v>SI</v>
      </c>
      <c r="E120" t="str">
        <f>IF(COUNTIFS(Tabella1[Città], A120, Tabella1[Categoria],"ALBERGHI")&gt;0,"SI","NO")</f>
        <v>SI</v>
      </c>
    </row>
    <row r="121" spans="1:5" x14ac:dyDescent="0.3">
      <c r="A121" t="s">
        <v>11772</v>
      </c>
      <c r="B121">
        <v>91</v>
      </c>
      <c r="C121" t="str">
        <f t="shared" si="1"/>
        <v xml:space="preserve"> </v>
      </c>
      <c r="D121" t="str">
        <f>IF(COUNTIFS(Tabella1[Città], A121, Tabella1[Categoria],"ALLOGGI AGRITURISTICI")&gt;0,"SI","NO")</f>
        <v>NO</v>
      </c>
      <c r="E121" t="str">
        <f>IF(COUNTIFS(Tabella1[Città], A121, Tabella1[Categoria],"ALBERGHI")&gt;0,"SI","NO")</f>
        <v>NO</v>
      </c>
    </row>
    <row r="122" spans="1:5" x14ac:dyDescent="0.3">
      <c r="A122" t="s">
        <v>11795</v>
      </c>
      <c r="B122">
        <v>32</v>
      </c>
      <c r="C122" t="str">
        <f t="shared" si="1"/>
        <v xml:space="preserve"> </v>
      </c>
      <c r="D122" t="str">
        <f>IF(COUNTIFS(Tabella1[Città], A122, Tabella1[Categoria],"ALLOGGI AGRITURISTICI")&gt;0,"SI","NO")</f>
        <v>SI</v>
      </c>
      <c r="E122" t="str">
        <f>IF(COUNTIFS(Tabella1[Città], A122, Tabella1[Categoria],"ALBERGHI")&gt;0,"SI","NO")</f>
        <v>SI</v>
      </c>
    </row>
    <row r="123" spans="1:5" x14ac:dyDescent="0.3">
      <c r="A123" t="s">
        <v>11852</v>
      </c>
      <c r="B123">
        <v>118</v>
      </c>
      <c r="C123" t="str">
        <f t="shared" si="1"/>
        <v xml:space="preserve"> </v>
      </c>
      <c r="D123" t="str">
        <f>IF(COUNTIFS(Tabella1[Città], A123, Tabella1[Categoria],"ALLOGGI AGRITURISTICI")&gt;0,"SI","NO")</f>
        <v>NO</v>
      </c>
      <c r="E123" t="str">
        <f>IF(COUNTIFS(Tabella1[Città], A123, Tabella1[Categoria],"ALBERGHI")&gt;0,"SI","NO")</f>
        <v>NO</v>
      </c>
    </row>
    <row r="124" spans="1:5" x14ac:dyDescent="0.3">
      <c r="A124" t="s">
        <v>11857</v>
      </c>
      <c r="B124">
        <v>97</v>
      </c>
      <c r="C124" t="str">
        <f t="shared" si="1"/>
        <v xml:space="preserve"> </v>
      </c>
      <c r="D124" t="str">
        <f>IF(COUNTIFS(Tabella1[Città], A124, Tabella1[Categoria],"ALLOGGI AGRITURISTICI")&gt;0,"SI","NO")</f>
        <v>SI</v>
      </c>
      <c r="E124" t="str">
        <f>IF(COUNTIFS(Tabella1[Città], A124, Tabella1[Categoria],"ALBERGHI")&gt;0,"SI","NO")</f>
        <v>NO</v>
      </c>
    </row>
    <row r="125" spans="1:5" x14ac:dyDescent="0.3">
      <c r="A125" t="s">
        <v>11872</v>
      </c>
      <c r="B125">
        <v>30</v>
      </c>
      <c r="C125" t="str">
        <f t="shared" si="1"/>
        <v xml:space="preserve"> </v>
      </c>
      <c r="D125" t="str">
        <f>IF(COUNTIFS(Tabella1[Città], A125, Tabella1[Categoria],"ALLOGGI AGRITURISTICI")&gt;0,"SI","NO")</f>
        <v>SI</v>
      </c>
      <c r="E125" t="str">
        <f>IF(COUNTIFS(Tabella1[Città], A125, Tabella1[Categoria],"ALBERGHI")&gt;0,"SI","NO")</f>
        <v>NO</v>
      </c>
    </row>
    <row r="126" spans="1:5" x14ac:dyDescent="0.3">
      <c r="A126" t="s">
        <v>11886</v>
      </c>
      <c r="B126">
        <v>106</v>
      </c>
      <c r="C126" t="str">
        <f t="shared" si="1"/>
        <v xml:space="preserve"> </v>
      </c>
      <c r="D126" t="str">
        <f>IF(COUNTIFS(Tabella1[Città], A126, Tabella1[Categoria],"ALLOGGI AGRITURISTICI")&gt;0,"SI","NO")</f>
        <v>SI</v>
      </c>
      <c r="E126" t="str">
        <f>IF(COUNTIFS(Tabella1[Città], A126, Tabella1[Categoria],"ALBERGHI")&gt;0,"SI","NO")</f>
        <v>NO</v>
      </c>
    </row>
    <row r="127" spans="1:5" x14ac:dyDescent="0.3">
      <c r="A127" t="s">
        <v>11984</v>
      </c>
      <c r="B127">
        <v>108</v>
      </c>
      <c r="C127" t="str">
        <f t="shared" si="1"/>
        <v xml:space="preserve"> </v>
      </c>
      <c r="D127" t="str">
        <f>IF(COUNTIFS(Tabella1[Città], A127, Tabella1[Categoria],"ALLOGGI AGRITURISTICI")&gt;0,"SI","NO")</f>
        <v>SI</v>
      </c>
      <c r="E127" t="str">
        <f>IF(COUNTIFS(Tabella1[Città], A127, Tabella1[Categoria],"ALBERGHI")&gt;0,"SI","NO")</f>
        <v>SI</v>
      </c>
    </row>
    <row r="128" spans="1:5" x14ac:dyDescent="0.3">
      <c r="A128" t="s">
        <v>12053</v>
      </c>
      <c r="B128">
        <v>53</v>
      </c>
      <c r="C128" t="str">
        <f t="shared" si="1"/>
        <v xml:space="preserve"> </v>
      </c>
      <c r="D128" t="str">
        <f>IF(COUNTIFS(Tabella1[Città], A128, Tabella1[Categoria],"ALLOGGI AGRITURISTICI")&gt;0,"SI","NO")</f>
        <v>SI</v>
      </c>
      <c r="E128" t="str">
        <f>IF(COUNTIFS(Tabella1[Città], A128, Tabella1[Categoria],"ALBERGHI")&gt;0,"SI","NO")</f>
        <v>SI</v>
      </c>
    </row>
    <row r="129" spans="1:5" x14ac:dyDescent="0.3">
      <c r="A129" t="s">
        <v>12212</v>
      </c>
      <c r="B129">
        <v>57</v>
      </c>
      <c r="C129" t="str">
        <f t="shared" si="1"/>
        <v xml:space="preserve"> </v>
      </c>
      <c r="D129" t="str">
        <f>IF(COUNTIFS(Tabella1[Città], A129, Tabella1[Categoria],"ALLOGGI AGRITURISTICI")&gt;0,"SI","NO")</f>
        <v>SI</v>
      </c>
      <c r="E129" t="str">
        <f>IF(COUNTIFS(Tabella1[Città], A129, Tabella1[Categoria],"ALBERGHI")&gt;0,"SI","NO")</f>
        <v>SI</v>
      </c>
    </row>
    <row r="130" spans="1:5" x14ac:dyDescent="0.3">
      <c r="A130" t="s">
        <v>12294</v>
      </c>
      <c r="B130">
        <v>97</v>
      </c>
      <c r="C130" t="str">
        <f t="shared" si="1"/>
        <v xml:space="preserve"> </v>
      </c>
      <c r="D130" t="str">
        <f>IF(COUNTIFS(Tabella1[Città], A130, Tabella1[Categoria],"ALLOGGI AGRITURISTICI")&gt;0,"SI","NO")</f>
        <v>SI</v>
      </c>
      <c r="E130" t="str">
        <f>IF(COUNTIFS(Tabella1[Città], A130, Tabella1[Categoria],"ALBERGHI")&gt;0,"SI","NO")</f>
        <v>SI</v>
      </c>
    </row>
    <row r="131" spans="1:5" x14ac:dyDescent="0.3">
      <c r="A131" t="s">
        <v>12346</v>
      </c>
      <c r="B131">
        <v>69</v>
      </c>
      <c r="C131" t="str">
        <f t="shared" ref="C131:C194" si="2">IF(OR(B131&lt;$M$5,B131&gt;$M$4),"OUTLIER"," ")</f>
        <v xml:space="preserve"> </v>
      </c>
      <c r="D131" t="str">
        <f>IF(COUNTIFS(Tabella1[Città], A131, Tabella1[Categoria],"ALLOGGI AGRITURISTICI")&gt;0,"SI","NO")</f>
        <v>SI</v>
      </c>
      <c r="E131" t="str">
        <f>IF(COUNTIFS(Tabella1[Città], A131, Tabella1[Categoria],"ALBERGHI")&gt;0,"SI","NO")</f>
        <v>SI</v>
      </c>
    </row>
    <row r="132" spans="1:5" x14ac:dyDescent="0.3">
      <c r="A132" t="s">
        <v>12381</v>
      </c>
      <c r="B132">
        <v>108</v>
      </c>
      <c r="C132" t="str">
        <f t="shared" si="2"/>
        <v xml:space="preserve"> </v>
      </c>
      <c r="D132" t="str">
        <f>IF(COUNTIFS(Tabella1[Città], A132, Tabella1[Categoria],"ALLOGGI AGRITURISTICI")&gt;0,"SI","NO")</f>
        <v>NO</v>
      </c>
      <c r="E132" t="str">
        <f>IF(COUNTIFS(Tabella1[Città], A132, Tabella1[Categoria],"ALBERGHI")&gt;0,"SI","NO")</f>
        <v>NO</v>
      </c>
    </row>
    <row r="133" spans="1:5" x14ac:dyDescent="0.3">
      <c r="A133" t="s">
        <v>12386</v>
      </c>
      <c r="B133">
        <v>35</v>
      </c>
      <c r="C133" t="str">
        <f t="shared" si="2"/>
        <v xml:space="preserve"> </v>
      </c>
      <c r="D133" t="str">
        <f>IF(COUNTIFS(Tabella1[Città], A133, Tabella1[Categoria],"ALLOGGI AGRITURISTICI")&gt;0,"SI","NO")</f>
        <v>NO</v>
      </c>
      <c r="E133" t="str">
        <f>IF(COUNTIFS(Tabella1[Città], A133, Tabella1[Categoria],"ALBERGHI")&gt;0,"SI","NO")</f>
        <v>SI</v>
      </c>
    </row>
    <row r="134" spans="1:5" x14ac:dyDescent="0.3">
      <c r="A134" t="s">
        <v>12431</v>
      </c>
      <c r="B134">
        <v>30</v>
      </c>
      <c r="C134" t="str">
        <f t="shared" si="2"/>
        <v xml:space="preserve"> </v>
      </c>
      <c r="D134" t="str">
        <f>IF(COUNTIFS(Tabella1[Città], A134, Tabella1[Categoria],"ALLOGGI AGRITURISTICI")&gt;0,"SI","NO")</f>
        <v>SI</v>
      </c>
      <c r="E134" t="str">
        <f>IF(COUNTIFS(Tabella1[Città], A134, Tabella1[Categoria],"ALBERGHI")&gt;0,"SI","NO")</f>
        <v>SI</v>
      </c>
    </row>
    <row r="135" spans="1:5" x14ac:dyDescent="0.3">
      <c r="A135" t="s">
        <v>12463</v>
      </c>
      <c r="B135">
        <v>49</v>
      </c>
      <c r="C135" t="str">
        <f t="shared" si="2"/>
        <v xml:space="preserve"> </v>
      </c>
      <c r="D135" t="str">
        <f>IF(COUNTIFS(Tabella1[Città], A135, Tabella1[Categoria],"ALLOGGI AGRITURISTICI")&gt;0,"SI","NO")</f>
        <v>SI</v>
      </c>
      <c r="E135" t="str">
        <f>IF(COUNTIFS(Tabella1[Città], A135, Tabella1[Categoria],"ALBERGHI")&gt;0,"SI","NO")</f>
        <v>SI</v>
      </c>
    </row>
    <row r="136" spans="1:5" x14ac:dyDescent="0.3">
      <c r="A136" t="s">
        <v>12506</v>
      </c>
      <c r="B136">
        <v>59</v>
      </c>
      <c r="C136" t="str">
        <f t="shared" si="2"/>
        <v xml:space="preserve"> </v>
      </c>
      <c r="D136" t="str">
        <f>IF(COUNTIFS(Tabella1[Città], A136, Tabella1[Categoria],"ALLOGGI AGRITURISTICI")&gt;0,"SI","NO")</f>
        <v>SI</v>
      </c>
      <c r="E136" t="str">
        <f>IF(COUNTIFS(Tabella1[Città], A136, Tabella1[Categoria],"ALBERGHI")&gt;0,"SI","NO")</f>
        <v>SI</v>
      </c>
    </row>
    <row r="137" spans="1:5" x14ac:dyDescent="0.3">
      <c r="A137" t="s">
        <v>12523</v>
      </c>
      <c r="B137">
        <v>58</v>
      </c>
      <c r="C137" t="str">
        <f t="shared" si="2"/>
        <v xml:space="preserve"> </v>
      </c>
      <c r="D137" t="str">
        <f>IF(COUNTIFS(Tabella1[Città], A137, Tabella1[Categoria],"ALLOGGI AGRITURISTICI")&gt;0,"SI","NO")</f>
        <v>SI</v>
      </c>
      <c r="E137" t="str">
        <f>IF(COUNTIFS(Tabella1[Città], A137, Tabella1[Categoria],"ALBERGHI")&gt;0,"SI","NO")</f>
        <v>NO</v>
      </c>
    </row>
    <row r="138" spans="1:5" x14ac:dyDescent="0.3">
      <c r="A138" t="s">
        <v>12550</v>
      </c>
      <c r="B138">
        <v>46</v>
      </c>
      <c r="C138" t="str">
        <f t="shared" si="2"/>
        <v xml:space="preserve"> </v>
      </c>
      <c r="D138" t="str">
        <f>IF(COUNTIFS(Tabella1[Città], A138, Tabella1[Categoria],"ALLOGGI AGRITURISTICI")&gt;0,"SI","NO")</f>
        <v>SI</v>
      </c>
      <c r="E138" t="str">
        <f>IF(COUNTIFS(Tabella1[Città], A138, Tabella1[Categoria],"ALBERGHI")&gt;0,"SI","NO")</f>
        <v>SI</v>
      </c>
    </row>
    <row r="139" spans="1:5" x14ac:dyDescent="0.3">
      <c r="A139" t="s">
        <v>12616</v>
      </c>
      <c r="B139">
        <v>89</v>
      </c>
      <c r="C139" t="str">
        <f t="shared" si="2"/>
        <v xml:space="preserve"> </v>
      </c>
      <c r="D139" t="str">
        <f>IF(COUNTIFS(Tabella1[Città], A139, Tabella1[Categoria],"ALLOGGI AGRITURISTICI")&gt;0,"SI","NO")</f>
        <v>SI</v>
      </c>
      <c r="E139" t="str">
        <f>IF(COUNTIFS(Tabella1[Città], A139, Tabella1[Categoria],"ALBERGHI")&gt;0,"SI","NO")</f>
        <v>SI</v>
      </c>
    </row>
    <row r="140" spans="1:5" x14ac:dyDescent="0.3">
      <c r="A140" t="s">
        <v>12639</v>
      </c>
      <c r="B140">
        <v>30</v>
      </c>
      <c r="C140" t="str">
        <f t="shared" si="2"/>
        <v xml:space="preserve"> </v>
      </c>
      <c r="D140" t="str">
        <f>IF(COUNTIFS(Tabella1[Città], A140, Tabella1[Categoria],"ALLOGGI AGRITURISTICI")&gt;0,"SI","NO")</f>
        <v>SI</v>
      </c>
      <c r="E140" t="str">
        <f>IF(COUNTIFS(Tabella1[Città], A140, Tabella1[Categoria],"ALBERGHI")&gt;0,"SI","NO")</f>
        <v>NO</v>
      </c>
    </row>
    <row r="141" spans="1:5" x14ac:dyDescent="0.3">
      <c r="A141" t="s">
        <v>12679</v>
      </c>
      <c r="B141">
        <v>103</v>
      </c>
      <c r="C141" t="str">
        <f t="shared" si="2"/>
        <v xml:space="preserve"> </v>
      </c>
      <c r="D141" t="str">
        <f>IF(COUNTIFS(Tabella1[Città], A141, Tabella1[Categoria],"ALLOGGI AGRITURISTICI")&gt;0,"SI","NO")</f>
        <v>SI</v>
      </c>
      <c r="E141" t="str">
        <f>IF(COUNTIFS(Tabella1[Città], A141, Tabella1[Categoria],"ALBERGHI")&gt;0,"SI","NO")</f>
        <v>NO</v>
      </c>
    </row>
    <row r="142" spans="1:5" x14ac:dyDescent="0.3">
      <c r="A142" t="s">
        <v>12698</v>
      </c>
      <c r="B142">
        <v>117</v>
      </c>
      <c r="C142" t="str">
        <f t="shared" si="2"/>
        <v xml:space="preserve"> </v>
      </c>
      <c r="D142" t="str">
        <f>IF(COUNTIFS(Tabella1[Città], A142, Tabella1[Categoria],"ALLOGGI AGRITURISTICI")&gt;0,"SI","NO")</f>
        <v>SI</v>
      </c>
      <c r="E142" t="str">
        <f>IF(COUNTIFS(Tabella1[Città], A142, Tabella1[Categoria],"ALBERGHI")&gt;0,"SI","NO")</f>
        <v>NO</v>
      </c>
    </row>
    <row r="143" spans="1:5" x14ac:dyDescent="0.3">
      <c r="A143" t="s">
        <v>12734</v>
      </c>
      <c r="B143">
        <v>53</v>
      </c>
      <c r="C143" t="str">
        <f t="shared" si="2"/>
        <v xml:space="preserve"> </v>
      </c>
      <c r="D143" t="str">
        <f>IF(COUNTIFS(Tabella1[Città], A143, Tabella1[Categoria],"ALLOGGI AGRITURISTICI")&gt;0,"SI","NO")</f>
        <v>SI</v>
      </c>
      <c r="E143" t="str">
        <f>IF(COUNTIFS(Tabella1[Città], A143, Tabella1[Categoria],"ALBERGHI")&gt;0,"SI","NO")</f>
        <v>NO</v>
      </c>
    </row>
    <row r="144" spans="1:5" x14ac:dyDescent="0.3">
      <c r="A144" t="s">
        <v>12753</v>
      </c>
      <c r="B144">
        <v>66</v>
      </c>
      <c r="C144" t="str">
        <f t="shared" si="2"/>
        <v xml:space="preserve"> </v>
      </c>
      <c r="D144" t="str">
        <f>IF(COUNTIFS(Tabella1[Città], A144, Tabella1[Categoria],"ALLOGGI AGRITURISTICI")&gt;0,"SI","NO")</f>
        <v>NO</v>
      </c>
      <c r="E144" t="str">
        <f>IF(COUNTIFS(Tabella1[Città], A144, Tabella1[Categoria],"ALBERGHI")&gt;0,"SI","NO")</f>
        <v>SI</v>
      </c>
    </row>
    <row r="145" spans="1:5" x14ac:dyDescent="0.3">
      <c r="A145" t="s">
        <v>12770</v>
      </c>
      <c r="B145">
        <v>114</v>
      </c>
      <c r="C145" t="str">
        <f t="shared" si="2"/>
        <v xml:space="preserve"> </v>
      </c>
      <c r="D145" t="str">
        <f>IF(COUNTIFS(Tabella1[Città], A145, Tabella1[Categoria],"ALLOGGI AGRITURISTICI")&gt;0,"SI","NO")</f>
        <v>NO</v>
      </c>
      <c r="E145" t="str">
        <f>IF(COUNTIFS(Tabella1[Città], A145, Tabella1[Categoria],"ALBERGHI")&gt;0,"SI","NO")</f>
        <v>NO</v>
      </c>
    </row>
    <row r="146" spans="1:5" x14ac:dyDescent="0.3">
      <c r="A146" t="s">
        <v>12776</v>
      </c>
      <c r="B146">
        <v>39</v>
      </c>
      <c r="C146" t="str">
        <f t="shared" si="2"/>
        <v xml:space="preserve"> </v>
      </c>
      <c r="D146" t="str">
        <f>IF(COUNTIFS(Tabella1[Città], A146, Tabella1[Categoria],"ALLOGGI AGRITURISTICI")&gt;0,"SI","NO")</f>
        <v>SI</v>
      </c>
      <c r="E146" t="str">
        <f>IF(COUNTIFS(Tabella1[Città], A146, Tabella1[Categoria],"ALBERGHI")&gt;0,"SI","NO")</f>
        <v>SI</v>
      </c>
    </row>
    <row r="147" spans="1:5" x14ac:dyDescent="0.3">
      <c r="A147" t="s">
        <v>12805</v>
      </c>
      <c r="B147">
        <v>69</v>
      </c>
      <c r="C147" t="str">
        <f t="shared" si="2"/>
        <v xml:space="preserve"> </v>
      </c>
      <c r="D147" t="str">
        <f>IF(COUNTIFS(Tabella1[Città], A147, Tabella1[Categoria],"ALLOGGI AGRITURISTICI")&gt;0,"SI","NO")</f>
        <v>SI</v>
      </c>
      <c r="E147" t="str">
        <f>IF(COUNTIFS(Tabella1[Città], A147, Tabella1[Categoria],"ALBERGHI")&gt;0,"SI","NO")</f>
        <v>SI</v>
      </c>
    </row>
    <row r="148" spans="1:5" x14ac:dyDescent="0.3">
      <c r="A148" t="s">
        <v>13030</v>
      </c>
      <c r="B148">
        <v>106</v>
      </c>
      <c r="C148" t="str">
        <f t="shared" si="2"/>
        <v xml:space="preserve"> </v>
      </c>
      <c r="D148" t="str">
        <f>IF(COUNTIFS(Tabella1[Città], A148, Tabella1[Categoria],"ALLOGGI AGRITURISTICI")&gt;0,"SI","NO")</f>
        <v>SI</v>
      </c>
      <c r="E148" t="str">
        <f>IF(COUNTIFS(Tabella1[Città], A148, Tabella1[Categoria],"ALBERGHI")&gt;0,"SI","NO")</f>
        <v>SI</v>
      </c>
    </row>
    <row r="149" spans="1:5" x14ac:dyDescent="0.3">
      <c r="A149" t="s">
        <v>13302</v>
      </c>
      <c r="B149">
        <v>93</v>
      </c>
      <c r="C149" t="str">
        <f t="shared" si="2"/>
        <v xml:space="preserve"> </v>
      </c>
      <c r="D149" t="str">
        <f>IF(COUNTIFS(Tabella1[Città], A149, Tabella1[Categoria],"ALLOGGI AGRITURISTICI")&gt;0,"SI","NO")</f>
        <v>SI</v>
      </c>
      <c r="E149" t="str">
        <f>IF(COUNTIFS(Tabella1[Città], A149, Tabella1[Categoria],"ALBERGHI")&gt;0,"SI","NO")</f>
        <v>SI</v>
      </c>
    </row>
    <row r="150" spans="1:5" x14ac:dyDescent="0.3">
      <c r="A150" t="s">
        <v>13432</v>
      </c>
      <c r="B150">
        <v>46</v>
      </c>
      <c r="C150" t="str">
        <f t="shared" si="2"/>
        <v xml:space="preserve"> </v>
      </c>
      <c r="D150" t="str">
        <f>IF(COUNTIFS(Tabella1[Città], A150, Tabella1[Categoria],"ALLOGGI AGRITURISTICI")&gt;0,"SI","NO")</f>
        <v>NO</v>
      </c>
      <c r="E150" t="str">
        <f>IF(COUNTIFS(Tabella1[Città], A150, Tabella1[Categoria],"ALBERGHI")&gt;0,"SI","NO")</f>
        <v>NO</v>
      </c>
    </row>
    <row r="151" spans="1:5" x14ac:dyDescent="0.3">
      <c r="A151" t="s">
        <v>6074</v>
      </c>
      <c r="B151">
        <v>103</v>
      </c>
      <c r="C151" t="str">
        <f t="shared" si="2"/>
        <v xml:space="preserve"> </v>
      </c>
      <c r="D151" t="str">
        <f>IF(COUNTIFS(Tabella1[Città], A151, Tabella1[Categoria],"ALLOGGI AGRITURISTICI")&gt;0,"SI","NO")</f>
        <v>SI</v>
      </c>
      <c r="E151" t="str">
        <f>IF(COUNTIFS(Tabella1[Città], A151, Tabella1[Categoria],"ALBERGHI")&gt;0,"SI","NO")</f>
        <v>SI</v>
      </c>
    </row>
    <row r="152" spans="1:5" x14ac:dyDescent="0.3">
      <c r="A152" t="s">
        <v>13552</v>
      </c>
      <c r="B152">
        <v>115</v>
      </c>
      <c r="C152" t="str">
        <f t="shared" si="2"/>
        <v xml:space="preserve"> </v>
      </c>
      <c r="D152" t="str">
        <f>IF(COUNTIFS(Tabella1[Città], A152, Tabella1[Categoria],"ALLOGGI AGRITURISTICI")&gt;0,"SI","NO")</f>
        <v>SI</v>
      </c>
      <c r="E152" t="str">
        <f>IF(COUNTIFS(Tabella1[Città], A152, Tabella1[Categoria],"ALBERGHI")&gt;0,"SI","NO")</f>
        <v>SI</v>
      </c>
    </row>
    <row r="153" spans="1:5" x14ac:dyDescent="0.3">
      <c r="A153" t="s">
        <v>13744</v>
      </c>
      <c r="B153">
        <v>104</v>
      </c>
      <c r="C153" t="str">
        <f t="shared" si="2"/>
        <v xml:space="preserve"> </v>
      </c>
      <c r="D153" t="str">
        <f>IF(COUNTIFS(Tabella1[Città], A153, Tabella1[Categoria],"ALLOGGI AGRITURISTICI")&gt;0,"SI","NO")</f>
        <v>SI</v>
      </c>
      <c r="E153" t="str">
        <f>IF(COUNTIFS(Tabella1[Città], A153, Tabella1[Categoria],"ALBERGHI")&gt;0,"SI","NO")</f>
        <v>NO</v>
      </c>
    </row>
    <row r="154" spans="1:5" x14ac:dyDescent="0.3">
      <c r="A154" t="s">
        <v>13761</v>
      </c>
      <c r="B154">
        <v>78</v>
      </c>
      <c r="C154" t="str">
        <f t="shared" si="2"/>
        <v xml:space="preserve"> </v>
      </c>
      <c r="D154" t="str">
        <f>IF(COUNTIFS(Tabella1[Città], A154, Tabella1[Categoria],"ALLOGGI AGRITURISTICI")&gt;0,"SI","NO")</f>
        <v>SI</v>
      </c>
      <c r="E154" t="str">
        <f>IF(COUNTIFS(Tabella1[Città], A154, Tabella1[Categoria],"ALBERGHI")&gt;0,"SI","NO")</f>
        <v>SI</v>
      </c>
    </row>
    <row r="155" spans="1:5" x14ac:dyDescent="0.3">
      <c r="A155" t="s">
        <v>13886</v>
      </c>
      <c r="B155">
        <v>69</v>
      </c>
      <c r="C155" t="str">
        <f t="shared" si="2"/>
        <v xml:space="preserve"> </v>
      </c>
      <c r="D155" t="str">
        <f>IF(COUNTIFS(Tabella1[Città], A155, Tabella1[Categoria],"ALLOGGI AGRITURISTICI")&gt;0,"SI","NO")</f>
        <v>SI</v>
      </c>
      <c r="E155" t="str">
        <f>IF(COUNTIFS(Tabella1[Città], A155, Tabella1[Categoria],"ALBERGHI")&gt;0,"SI","NO")</f>
        <v>SI</v>
      </c>
    </row>
    <row r="156" spans="1:5" x14ac:dyDescent="0.3">
      <c r="A156" t="s">
        <v>13899</v>
      </c>
      <c r="B156">
        <v>62</v>
      </c>
      <c r="C156" t="str">
        <f t="shared" si="2"/>
        <v xml:space="preserve"> </v>
      </c>
      <c r="D156" t="str">
        <f>IF(COUNTIFS(Tabella1[Città], A156, Tabella1[Categoria],"ALLOGGI AGRITURISTICI")&gt;0,"SI","NO")</f>
        <v>SI</v>
      </c>
      <c r="E156" t="str">
        <f>IF(COUNTIFS(Tabella1[Città], A156, Tabella1[Categoria],"ALBERGHI")&gt;0,"SI","NO")</f>
        <v>SI</v>
      </c>
    </row>
    <row r="157" spans="1:5" x14ac:dyDescent="0.3">
      <c r="A157" t="s">
        <v>13934</v>
      </c>
      <c r="B157">
        <v>64</v>
      </c>
      <c r="C157" t="str">
        <f t="shared" si="2"/>
        <v xml:space="preserve"> </v>
      </c>
      <c r="D157" t="str">
        <f>IF(COUNTIFS(Tabella1[Città], A157, Tabella1[Categoria],"ALLOGGI AGRITURISTICI")&gt;0,"SI","NO")</f>
        <v>NO</v>
      </c>
      <c r="E157" t="str">
        <f>IF(COUNTIFS(Tabella1[Città], A157, Tabella1[Categoria],"ALBERGHI")&gt;0,"SI","NO")</f>
        <v>NO</v>
      </c>
    </row>
    <row r="158" spans="1:5" x14ac:dyDescent="0.3">
      <c r="A158" t="s">
        <v>13951</v>
      </c>
      <c r="B158">
        <v>66</v>
      </c>
      <c r="C158" t="str">
        <f t="shared" si="2"/>
        <v xml:space="preserve"> </v>
      </c>
      <c r="D158" t="str">
        <f>IF(COUNTIFS(Tabella1[Città], A158, Tabella1[Categoria],"ALLOGGI AGRITURISTICI")&gt;0,"SI","NO")</f>
        <v>SI</v>
      </c>
      <c r="E158" t="str">
        <f>IF(COUNTIFS(Tabella1[Città], A158, Tabella1[Categoria],"ALBERGHI")&gt;0,"SI","NO")</f>
        <v>SI</v>
      </c>
    </row>
    <row r="159" spans="1:5" x14ac:dyDescent="0.3">
      <c r="A159" t="s">
        <v>14070</v>
      </c>
      <c r="B159">
        <v>63</v>
      </c>
      <c r="C159" t="str">
        <f t="shared" si="2"/>
        <v xml:space="preserve"> </v>
      </c>
      <c r="D159" t="str">
        <f>IF(COUNTIFS(Tabella1[Città], A159, Tabella1[Categoria],"ALLOGGI AGRITURISTICI")&gt;0,"SI","NO")</f>
        <v>SI</v>
      </c>
      <c r="E159" t="str">
        <f>IF(COUNTIFS(Tabella1[Città], A159, Tabella1[Categoria],"ALBERGHI")&gt;0,"SI","NO")</f>
        <v>SI</v>
      </c>
    </row>
    <row r="160" spans="1:5" x14ac:dyDescent="0.3">
      <c r="A160" t="s">
        <v>14200</v>
      </c>
      <c r="B160">
        <v>38</v>
      </c>
      <c r="C160" t="str">
        <f t="shared" si="2"/>
        <v xml:space="preserve"> </v>
      </c>
      <c r="D160" t="str">
        <f>IF(COUNTIFS(Tabella1[Città], A160, Tabella1[Categoria],"ALLOGGI AGRITURISTICI")&gt;0,"SI","NO")</f>
        <v>NO</v>
      </c>
      <c r="E160" t="str">
        <f>IF(COUNTIFS(Tabella1[Città], A160, Tabella1[Categoria],"ALBERGHI")&gt;0,"SI","NO")</f>
        <v>SI</v>
      </c>
    </row>
    <row r="161" spans="1:5" x14ac:dyDescent="0.3">
      <c r="A161" t="s">
        <v>14218</v>
      </c>
      <c r="B161">
        <v>75</v>
      </c>
      <c r="C161" t="str">
        <f t="shared" si="2"/>
        <v xml:space="preserve"> </v>
      </c>
      <c r="D161" t="str">
        <f>IF(COUNTIFS(Tabella1[Città], A161, Tabella1[Categoria],"ALLOGGI AGRITURISTICI")&gt;0,"SI","NO")</f>
        <v>NO</v>
      </c>
      <c r="E161" t="str">
        <f>IF(COUNTIFS(Tabella1[Città], A161, Tabella1[Categoria],"ALBERGHI")&gt;0,"SI","NO")</f>
        <v>SI</v>
      </c>
    </row>
    <row r="162" spans="1:5" x14ac:dyDescent="0.3">
      <c r="A162" t="s">
        <v>14281</v>
      </c>
      <c r="B162">
        <v>36</v>
      </c>
      <c r="C162" t="str">
        <f t="shared" si="2"/>
        <v xml:space="preserve"> </v>
      </c>
      <c r="D162" t="str">
        <f>IF(COUNTIFS(Tabella1[Città], A162, Tabella1[Categoria],"ALLOGGI AGRITURISTICI")&gt;0,"SI","NO")</f>
        <v>SI</v>
      </c>
      <c r="E162" t="str">
        <f>IF(COUNTIFS(Tabella1[Città], A162, Tabella1[Categoria],"ALBERGHI")&gt;0,"SI","NO")</f>
        <v>SI</v>
      </c>
    </row>
    <row r="163" spans="1:5" x14ac:dyDescent="0.3">
      <c r="A163" t="s">
        <v>14339</v>
      </c>
      <c r="B163">
        <v>98</v>
      </c>
      <c r="C163" t="str">
        <f t="shared" si="2"/>
        <v xml:space="preserve"> </v>
      </c>
      <c r="D163" t="str">
        <f>IF(COUNTIFS(Tabella1[Città], A163, Tabella1[Categoria],"ALLOGGI AGRITURISTICI")&gt;0,"SI","NO")</f>
        <v>SI</v>
      </c>
      <c r="E163" t="str">
        <f>IF(COUNTIFS(Tabella1[Città], A163, Tabella1[Categoria],"ALBERGHI")&gt;0,"SI","NO")</f>
        <v>SI</v>
      </c>
    </row>
    <row r="164" spans="1:5" x14ac:dyDescent="0.3">
      <c r="A164" t="s">
        <v>14433</v>
      </c>
      <c r="B164">
        <v>61</v>
      </c>
      <c r="C164" t="str">
        <f t="shared" si="2"/>
        <v xml:space="preserve"> </v>
      </c>
      <c r="D164" t="str">
        <f>IF(COUNTIFS(Tabella1[Città], A164, Tabella1[Categoria],"ALLOGGI AGRITURISTICI")&gt;0,"SI","NO")</f>
        <v>SI</v>
      </c>
      <c r="E164" t="str">
        <f>IF(COUNTIFS(Tabella1[Città], A164, Tabella1[Categoria],"ALBERGHI")&gt;0,"SI","NO")</f>
        <v>SI</v>
      </c>
    </row>
    <row r="165" spans="1:5" x14ac:dyDescent="0.3">
      <c r="A165" t="s">
        <v>14502</v>
      </c>
      <c r="B165">
        <v>86</v>
      </c>
      <c r="C165" t="str">
        <f t="shared" si="2"/>
        <v xml:space="preserve"> </v>
      </c>
      <c r="D165" t="str">
        <f>IF(COUNTIFS(Tabella1[Città], A165, Tabella1[Categoria],"ALLOGGI AGRITURISTICI")&gt;0,"SI","NO")</f>
        <v>SI</v>
      </c>
      <c r="E165" t="str">
        <f>IF(COUNTIFS(Tabella1[Città], A165, Tabella1[Categoria],"ALBERGHI")&gt;0,"SI","NO")</f>
        <v>NO</v>
      </c>
    </row>
    <row r="166" spans="1:5" x14ac:dyDescent="0.3">
      <c r="A166" t="s">
        <v>14515</v>
      </c>
      <c r="B166">
        <v>31</v>
      </c>
      <c r="C166" t="str">
        <f t="shared" si="2"/>
        <v xml:space="preserve"> </v>
      </c>
      <c r="D166" t="str">
        <f>IF(COUNTIFS(Tabella1[Città], A166, Tabella1[Categoria],"ALLOGGI AGRITURISTICI")&gt;0,"SI","NO")</f>
        <v>NO</v>
      </c>
      <c r="E166" t="str">
        <f>IF(COUNTIFS(Tabella1[Città], A166, Tabella1[Categoria],"ALBERGHI")&gt;0,"SI","NO")</f>
        <v>SI</v>
      </c>
    </row>
    <row r="167" spans="1:5" x14ac:dyDescent="0.3">
      <c r="A167" t="s">
        <v>14581</v>
      </c>
      <c r="B167">
        <v>100</v>
      </c>
      <c r="C167" t="str">
        <f t="shared" si="2"/>
        <v xml:space="preserve"> </v>
      </c>
      <c r="D167" t="str">
        <f>IF(COUNTIFS(Tabella1[Città], A167, Tabella1[Categoria],"ALLOGGI AGRITURISTICI")&gt;0,"SI","NO")</f>
        <v>SI</v>
      </c>
      <c r="E167" t="str">
        <f>IF(COUNTIFS(Tabella1[Città], A167, Tabella1[Categoria],"ALBERGHI")&gt;0,"SI","NO")</f>
        <v>SI</v>
      </c>
    </row>
    <row r="168" spans="1:5" x14ac:dyDescent="0.3">
      <c r="A168" t="s">
        <v>15101</v>
      </c>
      <c r="B168">
        <v>31</v>
      </c>
      <c r="C168" t="str">
        <f t="shared" si="2"/>
        <v xml:space="preserve"> </v>
      </c>
      <c r="D168" t="str">
        <f>IF(COUNTIFS(Tabella1[Città], A168, Tabella1[Categoria],"ALLOGGI AGRITURISTICI")&gt;0,"SI","NO")</f>
        <v>SI</v>
      </c>
      <c r="E168" t="str">
        <f>IF(COUNTIFS(Tabella1[Città], A168, Tabella1[Categoria],"ALBERGHI")&gt;0,"SI","NO")</f>
        <v>NO</v>
      </c>
    </row>
    <row r="169" spans="1:5" x14ac:dyDescent="0.3">
      <c r="A169" t="s">
        <v>15134</v>
      </c>
      <c r="B169">
        <v>94</v>
      </c>
      <c r="C169" t="str">
        <f t="shared" si="2"/>
        <v xml:space="preserve"> </v>
      </c>
      <c r="D169" t="str">
        <f>IF(COUNTIFS(Tabella1[Città], A169, Tabella1[Categoria],"ALLOGGI AGRITURISTICI")&gt;0,"SI","NO")</f>
        <v>NO</v>
      </c>
      <c r="E169" t="str">
        <f>IF(COUNTIFS(Tabella1[Città], A169, Tabella1[Categoria],"ALBERGHI")&gt;0,"SI","NO")</f>
        <v>NO</v>
      </c>
    </row>
    <row r="170" spans="1:5" x14ac:dyDescent="0.3">
      <c r="A170" t="s">
        <v>15156</v>
      </c>
      <c r="B170">
        <v>45</v>
      </c>
      <c r="C170" t="str">
        <f t="shared" si="2"/>
        <v xml:space="preserve"> </v>
      </c>
      <c r="D170" t="str">
        <f>IF(COUNTIFS(Tabella1[Città], A170, Tabella1[Categoria],"ALLOGGI AGRITURISTICI")&gt;0,"SI","NO")</f>
        <v>SI</v>
      </c>
      <c r="E170" t="str">
        <f>IF(COUNTIFS(Tabella1[Città], A170, Tabella1[Categoria],"ALBERGHI")&gt;0,"SI","NO")</f>
        <v>SI</v>
      </c>
    </row>
    <row r="171" spans="1:5" x14ac:dyDescent="0.3">
      <c r="A171" t="s">
        <v>15202</v>
      </c>
      <c r="B171">
        <v>96</v>
      </c>
      <c r="C171" t="str">
        <f t="shared" si="2"/>
        <v xml:space="preserve"> </v>
      </c>
      <c r="D171" t="str">
        <f>IF(COUNTIFS(Tabella1[Città], A171, Tabella1[Categoria],"ALLOGGI AGRITURISTICI")&gt;0,"SI","NO")</f>
        <v>SI</v>
      </c>
      <c r="E171" t="str">
        <f>IF(COUNTIFS(Tabella1[Città], A171, Tabella1[Categoria],"ALBERGHI")&gt;0,"SI","NO")</f>
        <v>NO</v>
      </c>
    </row>
    <row r="172" spans="1:5" x14ac:dyDescent="0.3">
      <c r="A172" t="s">
        <v>15231</v>
      </c>
      <c r="B172">
        <v>104</v>
      </c>
      <c r="C172" t="str">
        <f t="shared" si="2"/>
        <v xml:space="preserve"> </v>
      </c>
      <c r="D172" t="str">
        <f>IF(COUNTIFS(Tabella1[Città], A172, Tabella1[Categoria],"ALLOGGI AGRITURISTICI")&gt;0,"SI","NO")</f>
        <v>SI</v>
      </c>
      <c r="E172" t="str">
        <f>IF(COUNTIFS(Tabella1[Città], A172, Tabella1[Categoria],"ALBERGHI")&gt;0,"SI","NO")</f>
        <v>SI</v>
      </c>
    </row>
    <row r="173" spans="1:5" x14ac:dyDescent="0.3">
      <c r="A173" t="s">
        <v>15254</v>
      </c>
      <c r="B173">
        <v>65</v>
      </c>
      <c r="C173" t="str">
        <f t="shared" si="2"/>
        <v xml:space="preserve"> </v>
      </c>
      <c r="D173" t="str">
        <f>IF(COUNTIFS(Tabella1[Città], A173, Tabella1[Categoria],"ALLOGGI AGRITURISTICI")&gt;0,"SI","NO")</f>
        <v>SI</v>
      </c>
      <c r="E173" t="str">
        <f>IF(COUNTIFS(Tabella1[Città], A173, Tabella1[Categoria],"ALBERGHI")&gt;0,"SI","NO")</f>
        <v>SI</v>
      </c>
    </row>
    <row r="174" spans="1:5" x14ac:dyDescent="0.3">
      <c r="A174" t="s">
        <v>15287</v>
      </c>
      <c r="B174">
        <v>90</v>
      </c>
      <c r="C174" t="str">
        <f t="shared" si="2"/>
        <v xml:space="preserve"> </v>
      </c>
      <c r="D174" t="str">
        <f>IF(COUNTIFS(Tabella1[Città], A174, Tabella1[Categoria],"ALLOGGI AGRITURISTICI")&gt;0,"SI","NO")</f>
        <v>SI</v>
      </c>
      <c r="E174" t="str">
        <f>IF(COUNTIFS(Tabella1[Città], A174, Tabella1[Categoria],"ALBERGHI")&gt;0,"SI","NO")</f>
        <v>SI</v>
      </c>
    </row>
    <row r="175" spans="1:5" x14ac:dyDescent="0.3">
      <c r="A175" t="s">
        <v>15354</v>
      </c>
      <c r="B175">
        <v>102</v>
      </c>
      <c r="C175" t="str">
        <f t="shared" si="2"/>
        <v xml:space="preserve"> </v>
      </c>
      <c r="D175" t="str">
        <f>IF(COUNTIFS(Tabella1[Città], A175, Tabella1[Categoria],"ALLOGGI AGRITURISTICI")&gt;0,"SI","NO")</f>
        <v>SI</v>
      </c>
      <c r="E175" t="str">
        <f>IF(COUNTIFS(Tabella1[Città], A175, Tabella1[Categoria],"ALBERGHI")&gt;0,"SI","NO")</f>
        <v>SI</v>
      </c>
    </row>
    <row r="176" spans="1:5" x14ac:dyDescent="0.3">
      <c r="A176" t="s">
        <v>15551</v>
      </c>
      <c r="B176">
        <v>80</v>
      </c>
      <c r="C176" t="str">
        <f t="shared" si="2"/>
        <v xml:space="preserve"> </v>
      </c>
      <c r="D176" t="str">
        <f>IF(COUNTIFS(Tabella1[Città], A176, Tabella1[Categoria],"ALLOGGI AGRITURISTICI")&gt;0,"SI","NO")</f>
        <v>NO</v>
      </c>
      <c r="E176" t="str">
        <f>IF(COUNTIFS(Tabella1[Città], A176, Tabella1[Categoria],"ALBERGHI")&gt;0,"SI","NO")</f>
        <v>SI</v>
      </c>
    </row>
    <row r="177" spans="1:5" x14ac:dyDescent="0.3">
      <c r="A177" t="s">
        <v>15565</v>
      </c>
      <c r="B177">
        <v>56</v>
      </c>
      <c r="C177" t="str">
        <f t="shared" si="2"/>
        <v xml:space="preserve"> </v>
      </c>
      <c r="D177" t="str">
        <f>IF(COUNTIFS(Tabella1[Città], A177, Tabella1[Categoria],"ALLOGGI AGRITURISTICI")&gt;0,"SI","NO")</f>
        <v>SI</v>
      </c>
      <c r="E177" t="str">
        <f>IF(COUNTIFS(Tabella1[Città], A177, Tabella1[Categoria],"ALBERGHI")&gt;0,"SI","NO")</f>
        <v>SI</v>
      </c>
    </row>
    <row r="178" spans="1:5" x14ac:dyDescent="0.3">
      <c r="A178" t="s">
        <v>15590</v>
      </c>
      <c r="B178">
        <v>87</v>
      </c>
      <c r="C178" t="str">
        <f t="shared" si="2"/>
        <v xml:space="preserve"> </v>
      </c>
      <c r="D178" t="str">
        <f>IF(COUNTIFS(Tabella1[Città], A178, Tabella1[Categoria],"ALLOGGI AGRITURISTICI")&gt;0,"SI","NO")</f>
        <v>SI</v>
      </c>
      <c r="E178" t="str">
        <f>IF(COUNTIFS(Tabella1[Città], A178, Tabella1[Categoria],"ALBERGHI")&gt;0,"SI","NO")</f>
        <v>SI</v>
      </c>
    </row>
    <row r="179" spans="1:5" x14ac:dyDescent="0.3">
      <c r="A179" t="s">
        <v>15969</v>
      </c>
      <c r="B179">
        <v>87</v>
      </c>
      <c r="C179" t="str">
        <f t="shared" si="2"/>
        <v xml:space="preserve"> </v>
      </c>
      <c r="D179" t="str">
        <f>IF(COUNTIFS(Tabella1[Città], A179, Tabella1[Categoria],"ALLOGGI AGRITURISTICI")&gt;0,"SI","NO")</f>
        <v>NO</v>
      </c>
      <c r="E179" t="str">
        <f>IF(COUNTIFS(Tabella1[Città], A179, Tabella1[Categoria],"ALBERGHI")&gt;0,"SI","NO")</f>
        <v>SI</v>
      </c>
    </row>
    <row r="180" spans="1:5" x14ac:dyDescent="0.3">
      <c r="A180" t="s">
        <v>5694</v>
      </c>
      <c r="B180">
        <v>79</v>
      </c>
      <c r="C180" t="str">
        <f t="shared" si="2"/>
        <v xml:space="preserve"> </v>
      </c>
      <c r="D180" t="str">
        <f>IF(COUNTIFS(Tabella1[Città], A180, Tabella1[Categoria],"ALLOGGI AGRITURISTICI")&gt;0,"SI","NO")</f>
        <v>SI</v>
      </c>
      <c r="E180" t="str">
        <f>IF(COUNTIFS(Tabella1[Città], A180, Tabella1[Categoria],"ALBERGHI")&gt;0,"SI","NO")</f>
        <v>SI</v>
      </c>
    </row>
    <row r="181" spans="1:5" x14ac:dyDescent="0.3">
      <c r="A181" t="s">
        <v>16046</v>
      </c>
      <c r="B181">
        <v>76</v>
      </c>
      <c r="C181" t="str">
        <f t="shared" si="2"/>
        <v xml:space="preserve"> </v>
      </c>
      <c r="D181" t="str">
        <f>IF(COUNTIFS(Tabella1[Città], A181, Tabella1[Categoria],"ALLOGGI AGRITURISTICI")&gt;0,"SI","NO")</f>
        <v>SI</v>
      </c>
      <c r="E181" t="str">
        <f>IF(COUNTIFS(Tabella1[Città], A181, Tabella1[Categoria],"ALBERGHI")&gt;0,"SI","NO")</f>
        <v>SI</v>
      </c>
    </row>
    <row r="182" spans="1:5" x14ac:dyDescent="0.3">
      <c r="A182" t="s">
        <v>16089</v>
      </c>
      <c r="B182">
        <v>67</v>
      </c>
      <c r="C182" t="str">
        <f t="shared" si="2"/>
        <v xml:space="preserve"> </v>
      </c>
      <c r="D182" t="str">
        <f>IF(COUNTIFS(Tabella1[Città], A182, Tabella1[Categoria],"ALLOGGI AGRITURISTICI")&gt;0,"SI","NO")</f>
        <v>SI</v>
      </c>
      <c r="E182" t="str">
        <f>IF(COUNTIFS(Tabella1[Città], A182, Tabella1[Categoria],"ALBERGHI")&gt;0,"SI","NO")</f>
        <v>NO</v>
      </c>
    </row>
    <row r="183" spans="1:5" x14ac:dyDescent="0.3">
      <c r="A183" t="s">
        <v>16171</v>
      </c>
      <c r="B183">
        <v>119</v>
      </c>
      <c r="C183" t="str">
        <f t="shared" si="2"/>
        <v xml:space="preserve"> </v>
      </c>
      <c r="D183" t="str">
        <f>IF(COUNTIFS(Tabella1[Città], A183, Tabella1[Categoria],"ALLOGGI AGRITURISTICI")&gt;0,"SI","NO")</f>
        <v>SI</v>
      </c>
      <c r="E183" t="str">
        <f>IF(COUNTIFS(Tabella1[Città], A183, Tabella1[Categoria],"ALBERGHI")&gt;0,"SI","NO")</f>
        <v>SI</v>
      </c>
    </row>
    <row r="184" spans="1:5" x14ac:dyDescent="0.3">
      <c r="A184" t="s">
        <v>16208</v>
      </c>
      <c r="B184">
        <v>82</v>
      </c>
      <c r="C184" t="str">
        <f t="shared" si="2"/>
        <v xml:space="preserve"> </v>
      </c>
      <c r="D184" t="str">
        <f>IF(COUNTIFS(Tabella1[Città], A184, Tabella1[Categoria],"ALLOGGI AGRITURISTICI")&gt;0,"SI","NO")</f>
        <v>SI</v>
      </c>
      <c r="E184" t="str">
        <f>IF(COUNTIFS(Tabella1[Città], A184, Tabella1[Categoria],"ALBERGHI")&gt;0,"SI","NO")</f>
        <v>SI</v>
      </c>
    </row>
    <row r="185" spans="1:5" x14ac:dyDescent="0.3">
      <c r="A185" t="s">
        <v>16287</v>
      </c>
      <c r="B185">
        <v>101</v>
      </c>
      <c r="C185" t="str">
        <f t="shared" si="2"/>
        <v xml:space="preserve"> </v>
      </c>
      <c r="D185" t="str">
        <f>IF(COUNTIFS(Tabella1[Città], A185, Tabella1[Categoria],"ALLOGGI AGRITURISTICI")&gt;0,"SI","NO")</f>
        <v>SI</v>
      </c>
      <c r="E185" t="str">
        <f>IF(COUNTIFS(Tabella1[Città], A185, Tabella1[Categoria],"ALBERGHI")&gt;0,"SI","NO")</f>
        <v>SI</v>
      </c>
    </row>
    <row r="186" spans="1:5" x14ac:dyDescent="0.3">
      <c r="A186" t="s">
        <v>16318</v>
      </c>
      <c r="B186">
        <v>92</v>
      </c>
      <c r="C186" t="str">
        <f t="shared" si="2"/>
        <v xml:space="preserve"> </v>
      </c>
      <c r="D186" t="str">
        <f>IF(COUNTIFS(Tabella1[Città], A186, Tabella1[Categoria],"ALLOGGI AGRITURISTICI")&gt;0,"SI","NO")</f>
        <v>SI</v>
      </c>
      <c r="E186" t="str">
        <f>IF(COUNTIFS(Tabella1[Città], A186, Tabella1[Categoria],"ALBERGHI")&gt;0,"SI","NO")</f>
        <v>SI</v>
      </c>
    </row>
    <row r="187" spans="1:5" x14ac:dyDescent="0.3">
      <c r="A187" t="s">
        <v>16402</v>
      </c>
      <c r="B187">
        <v>52</v>
      </c>
      <c r="C187" t="str">
        <f t="shared" si="2"/>
        <v xml:space="preserve"> </v>
      </c>
      <c r="D187" t="str">
        <f>IF(COUNTIFS(Tabella1[Città], A187, Tabella1[Categoria],"ALLOGGI AGRITURISTICI")&gt;0,"SI","NO")</f>
        <v>SI</v>
      </c>
      <c r="E187" t="str">
        <f>IF(COUNTIFS(Tabella1[Città], A187, Tabella1[Categoria],"ALBERGHI")&gt;0,"SI","NO")</f>
        <v>SI</v>
      </c>
    </row>
    <row r="188" spans="1:5" x14ac:dyDescent="0.3">
      <c r="A188" t="s">
        <v>16446</v>
      </c>
      <c r="B188">
        <v>54</v>
      </c>
      <c r="C188" t="str">
        <f t="shared" si="2"/>
        <v xml:space="preserve"> </v>
      </c>
      <c r="D188" t="str">
        <f>IF(COUNTIFS(Tabella1[Città], A188, Tabella1[Categoria],"ALLOGGI AGRITURISTICI")&gt;0,"SI","NO")</f>
        <v>SI</v>
      </c>
      <c r="E188" t="str">
        <f>IF(COUNTIFS(Tabella1[Città], A188, Tabella1[Categoria],"ALBERGHI")&gt;0,"SI","NO")</f>
        <v>SI</v>
      </c>
    </row>
    <row r="189" spans="1:5" x14ac:dyDescent="0.3">
      <c r="A189" t="s">
        <v>16586</v>
      </c>
      <c r="B189">
        <v>44</v>
      </c>
      <c r="C189" t="str">
        <f t="shared" si="2"/>
        <v xml:space="preserve"> </v>
      </c>
      <c r="D189" t="str">
        <f>IF(COUNTIFS(Tabella1[Città], A189, Tabella1[Categoria],"ALLOGGI AGRITURISTICI")&gt;0,"SI","NO")</f>
        <v>NO</v>
      </c>
      <c r="E189" t="str">
        <f>IF(COUNTIFS(Tabella1[Città], A189, Tabella1[Categoria],"ALBERGHI")&gt;0,"SI","NO")</f>
        <v>SI</v>
      </c>
    </row>
    <row r="190" spans="1:5" x14ac:dyDescent="0.3">
      <c r="A190" t="s">
        <v>16591</v>
      </c>
      <c r="B190">
        <v>34</v>
      </c>
      <c r="C190" t="str">
        <f t="shared" si="2"/>
        <v xml:space="preserve"> </v>
      </c>
      <c r="D190" t="str">
        <f>IF(COUNTIFS(Tabella1[Città], A190, Tabella1[Categoria],"ALLOGGI AGRITURISTICI")&gt;0,"SI","NO")</f>
        <v>SI</v>
      </c>
      <c r="E190" t="str">
        <f>IF(COUNTIFS(Tabella1[Città], A190, Tabella1[Categoria],"ALBERGHI")&gt;0,"SI","NO")</f>
        <v>SI</v>
      </c>
    </row>
    <row r="191" spans="1:5" x14ac:dyDescent="0.3">
      <c r="A191" t="s">
        <v>16721</v>
      </c>
      <c r="B191">
        <v>111</v>
      </c>
      <c r="C191" t="str">
        <f t="shared" si="2"/>
        <v xml:space="preserve"> </v>
      </c>
      <c r="D191" t="str">
        <f>IF(COUNTIFS(Tabella1[Città], A191, Tabella1[Categoria],"ALLOGGI AGRITURISTICI")&gt;0,"SI","NO")</f>
        <v>SI</v>
      </c>
      <c r="E191" t="str">
        <f>IF(COUNTIFS(Tabella1[Città], A191, Tabella1[Categoria],"ALBERGHI")&gt;0,"SI","NO")</f>
        <v>SI</v>
      </c>
    </row>
    <row r="192" spans="1:5" x14ac:dyDescent="0.3">
      <c r="A192" t="s">
        <v>16774</v>
      </c>
      <c r="B192">
        <v>74</v>
      </c>
      <c r="C192" t="str">
        <f t="shared" si="2"/>
        <v xml:space="preserve"> </v>
      </c>
      <c r="D192" t="str">
        <f>IF(COUNTIFS(Tabella1[Città], A192, Tabella1[Categoria],"ALLOGGI AGRITURISTICI")&gt;0,"SI","NO")</f>
        <v>SI</v>
      </c>
      <c r="E192" t="str">
        <f>IF(COUNTIFS(Tabella1[Città], A192, Tabella1[Categoria],"ALBERGHI")&gt;0,"SI","NO")</f>
        <v>NO</v>
      </c>
    </row>
    <row r="193" spans="1:5" x14ac:dyDescent="0.3">
      <c r="A193" t="s">
        <v>15825</v>
      </c>
      <c r="B193">
        <v>85</v>
      </c>
      <c r="C193" t="str">
        <f t="shared" si="2"/>
        <v xml:space="preserve"> </v>
      </c>
      <c r="D193" t="str">
        <f>IF(COUNTIFS(Tabella1[Città], A193, Tabella1[Categoria],"ALLOGGI AGRITURISTICI")&gt;0,"SI","NO")</f>
        <v>SI</v>
      </c>
      <c r="E193" t="str">
        <f>IF(COUNTIFS(Tabella1[Città], A193, Tabella1[Categoria],"ALBERGHI")&gt;0,"SI","NO")</f>
        <v>SI</v>
      </c>
    </row>
    <row r="194" spans="1:5" x14ac:dyDescent="0.3">
      <c r="A194" t="s">
        <v>17666</v>
      </c>
      <c r="B194">
        <v>33</v>
      </c>
      <c r="C194" t="str">
        <f t="shared" si="2"/>
        <v xml:space="preserve"> </v>
      </c>
      <c r="D194" t="str">
        <f>IF(COUNTIFS(Tabella1[Città], A194, Tabella1[Categoria],"ALLOGGI AGRITURISTICI")&gt;0,"SI","NO")</f>
        <v>SI</v>
      </c>
      <c r="E194" t="str">
        <f>IF(COUNTIFS(Tabella1[Città], A194, Tabella1[Categoria],"ALBERGHI")&gt;0,"SI","NO")</f>
        <v>SI</v>
      </c>
    </row>
    <row r="195" spans="1:5" x14ac:dyDescent="0.3">
      <c r="A195" t="s">
        <v>17698</v>
      </c>
      <c r="B195">
        <v>110</v>
      </c>
      <c r="C195" t="str">
        <f t="shared" ref="C195:C235" si="3">IF(OR(B195&lt;$M$5,B195&gt;$M$4),"OUTLIER"," ")</f>
        <v xml:space="preserve"> </v>
      </c>
      <c r="D195" t="str">
        <f>IF(COUNTIFS(Tabella1[Città], A195, Tabella1[Categoria],"ALLOGGI AGRITURISTICI")&gt;0,"SI","NO")</f>
        <v>SI</v>
      </c>
      <c r="E195" t="str">
        <f>IF(COUNTIFS(Tabella1[Città], A195, Tabella1[Categoria],"ALBERGHI")&gt;0,"SI","NO")</f>
        <v>SI</v>
      </c>
    </row>
    <row r="196" spans="1:5" x14ac:dyDescent="0.3">
      <c r="A196" t="s">
        <v>17710</v>
      </c>
      <c r="B196">
        <v>71</v>
      </c>
      <c r="C196" t="str">
        <f t="shared" si="3"/>
        <v xml:space="preserve"> </v>
      </c>
      <c r="D196" t="str">
        <f>IF(COUNTIFS(Tabella1[Città], A196, Tabella1[Categoria],"ALLOGGI AGRITURISTICI")&gt;0,"SI","NO")</f>
        <v>SI</v>
      </c>
      <c r="E196" t="str">
        <f>IF(COUNTIFS(Tabella1[Città], A196, Tabella1[Categoria],"ALBERGHI")&gt;0,"SI","NO")</f>
        <v>SI</v>
      </c>
    </row>
    <row r="197" spans="1:5" x14ac:dyDescent="0.3">
      <c r="A197" t="s">
        <v>17752</v>
      </c>
      <c r="B197">
        <v>84</v>
      </c>
      <c r="C197" t="str">
        <f t="shared" si="3"/>
        <v xml:space="preserve"> </v>
      </c>
      <c r="D197" t="str">
        <f>IF(COUNTIFS(Tabella1[Città], A197, Tabella1[Categoria],"ALLOGGI AGRITURISTICI")&gt;0,"SI","NO")</f>
        <v>SI</v>
      </c>
      <c r="E197" t="str">
        <f>IF(COUNTIFS(Tabella1[Città], A197, Tabella1[Categoria],"ALBERGHI")&gt;0,"SI","NO")</f>
        <v>SI</v>
      </c>
    </row>
    <row r="198" spans="1:5" x14ac:dyDescent="0.3">
      <c r="A198" t="s">
        <v>17830</v>
      </c>
      <c r="B198">
        <v>75</v>
      </c>
      <c r="C198" t="str">
        <f t="shared" si="3"/>
        <v xml:space="preserve"> </v>
      </c>
      <c r="D198" t="str">
        <f>IF(COUNTIFS(Tabella1[Città], A198, Tabella1[Categoria],"ALLOGGI AGRITURISTICI")&gt;0,"SI","NO")</f>
        <v>SI</v>
      </c>
      <c r="E198" t="str">
        <f>IF(COUNTIFS(Tabella1[Città], A198, Tabella1[Categoria],"ALBERGHI")&gt;0,"SI","NO")</f>
        <v>NO</v>
      </c>
    </row>
    <row r="199" spans="1:5" x14ac:dyDescent="0.3">
      <c r="A199" t="s">
        <v>17846</v>
      </c>
      <c r="B199">
        <v>109</v>
      </c>
      <c r="C199" t="str">
        <f t="shared" si="3"/>
        <v xml:space="preserve"> </v>
      </c>
      <c r="D199" t="str">
        <f>IF(COUNTIFS(Tabella1[Città], A199, Tabella1[Categoria],"ALLOGGI AGRITURISTICI")&gt;0,"SI","NO")</f>
        <v>SI</v>
      </c>
      <c r="E199" t="str">
        <f>IF(COUNTIFS(Tabella1[Città], A199, Tabella1[Categoria],"ALBERGHI")&gt;0,"SI","NO")</f>
        <v>SI</v>
      </c>
    </row>
    <row r="200" spans="1:5" x14ac:dyDescent="0.3">
      <c r="A200" t="s">
        <v>17916</v>
      </c>
      <c r="B200">
        <v>95</v>
      </c>
      <c r="C200" t="str">
        <f t="shared" si="3"/>
        <v xml:space="preserve"> </v>
      </c>
      <c r="D200" t="str">
        <f>IF(COUNTIFS(Tabella1[Città], A200, Tabella1[Categoria],"ALLOGGI AGRITURISTICI")&gt;0,"SI","NO")</f>
        <v>SI</v>
      </c>
      <c r="E200" t="str">
        <f>IF(COUNTIFS(Tabella1[Città], A200, Tabella1[Categoria],"ALBERGHI")&gt;0,"SI","NO")</f>
        <v>NO</v>
      </c>
    </row>
    <row r="201" spans="1:5" x14ac:dyDescent="0.3">
      <c r="A201" t="s">
        <v>17939</v>
      </c>
      <c r="B201">
        <v>42</v>
      </c>
      <c r="C201" t="str">
        <f t="shared" si="3"/>
        <v xml:space="preserve"> </v>
      </c>
      <c r="D201" t="str">
        <f>IF(COUNTIFS(Tabella1[Città], A201, Tabella1[Categoria],"ALLOGGI AGRITURISTICI")&gt;0,"SI","NO")</f>
        <v>SI</v>
      </c>
      <c r="E201" t="str">
        <f>IF(COUNTIFS(Tabella1[Città], A201, Tabella1[Categoria],"ALBERGHI")&gt;0,"SI","NO")</f>
        <v>SI</v>
      </c>
    </row>
    <row r="202" spans="1:5" x14ac:dyDescent="0.3">
      <c r="A202" t="s">
        <v>18369</v>
      </c>
      <c r="B202">
        <v>106</v>
      </c>
      <c r="C202" t="str">
        <f t="shared" si="3"/>
        <v xml:space="preserve"> </v>
      </c>
      <c r="D202" t="str">
        <f>IF(COUNTIFS(Tabella1[Città], A202, Tabella1[Categoria],"ALLOGGI AGRITURISTICI")&gt;0,"SI","NO")</f>
        <v>SI</v>
      </c>
      <c r="E202" t="str">
        <f>IF(COUNTIFS(Tabella1[Città], A202, Tabella1[Categoria],"ALBERGHI")&gt;0,"SI","NO")</f>
        <v>NO</v>
      </c>
    </row>
    <row r="203" spans="1:5" x14ac:dyDescent="0.3">
      <c r="A203" t="s">
        <v>18379</v>
      </c>
      <c r="B203">
        <v>51</v>
      </c>
      <c r="C203" t="str">
        <f t="shared" si="3"/>
        <v xml:space="preserve"> </v>
      </c>
      <c r="D203" t="str">
        <f>IF(COUNTIFS(Tabella1[Città], A203, Tabella1[Categoria],"ALLOGGI AGRITURISTICI")&gt;0,"SI","NO")</f>
        <v>SI</v>
      </c>
      <c r="E203" t="str">
        <f>IF(COUNTIFS(Tabella1[Città], A203, Tabella1[Categoria],"ALBERGHI")&gt;0,"SI","NO")</f>
        <v>NO</v>
      </c>
    </row>
    <row r="204" spans="1:5" x14ac:dyDescent="0.3">
      <c r="A204" t="s">
        <v>18396</v>
      </c>
      <c r="B204">
        <v>108</v>
      </c>
      <c r="C204" t="str">
        <f t="shared" si="3"/>
        <v xml:space="preserve"> </v>
      </c>
      <c r="D204" t="str">
        <f>IF(COUNTIFS(Tabella1[Città], A204, Tabella1[Categoria],"ALLOGGI AGRITURISTICI")&gt;0,"SI","NO")</f>
        <v>SI</v>
      </c>
      <c r="E204" t="str">
        <f>IF(COUNTIFS(Tabella1[Città], A204, Tabella1[Categoria],"ALBERGHI")&gt;0,"SI","NO")</f>
        <v>NO</v>
      </c>
    </row>
    <row r="205" spans="1:5" x14ac:dyDescent="0.3">
      <c r="A205" t="s">
        <v>18470</v>
      </c>
      <c r="B205">
        <v>47</v>
      </c>
      <c r="C205" t="str">
        <f t="shared" si="3"/>
        <v xml:space="preserve"> </v>
      </c>
      <c r="D205" t="str">
        <f>IF(COUNTIFS(Tabella1[Città], A205, Tabella1[Categoria],"ALLOGGI AGRITURISTICI")&gt;0,"SI","NO")</f>
        <v>NO</v>
      </c>
      <c r="E205" t="str">
        <f>IF(COUNTIFS(Tabella1[Città], A205, Tabella1[Categoria],"ALBERGHI")&gt;0,"SI","NO")</f>
        <v>SI</v>
      </c>
    </row>
    <row r="206" spans="1:5" x14ac:dyDescent="0.3">
      <c r="A206" t="s">
        <v>18481</v>
      </c>
      <c r="B206">
        <v>111</v>
      </c>
      <c r="C206" t="str">
        <f t="shared" si="3"/>
        <v xml:space="preserve"> </v>
      </c>
      <c r="D206" t="str">
        <f>IF(COUNTIFS(Tabella1[Città], A206, Tabella1[Categoria],"ALLOGGI AGRITURISTICI")&gt;0,"SI","NO")</f>
        <v>NO</v>
      </c>
      <c r="E206" t="str">
        <f>IF(COUNTIFS(Tabella1[Città], A206, Tabella1[Categoria],"ALBERGHI")&gt;0,"SI","NO")</f>
        <v>NO</v>
      </c>
    </row>
    <row r="207" spans="1:5" x14ac:dyDescent="0.3">
      <c r="A207" t="s">
        <v>18485</v>
      </c>
      <c r="B207">
        <v>113</v>
      </c>
      <c r="C207" t="str">
        <f t="shared" si="3"/>
        <v xml:space="preserve"> </v>
      </c>
      <c r="D207" t="str">
        <f>IF(COUNTIFS(Tabella1[Città], A207, Tabella1[Categoria],"ALLOGGI AGRITURISTICI")&gt;0,"SI","NO")</f>
        <v>NO</v>
      </c>
      <c r="E207" t="str">
        <f>IF(COUNTIFS(Tabella1[Città], A207, Tabella1[Categoria],"ALBERGHI")&gt;0,"SI","NO")</f>
        <v>NO</v>
      </c>
    </row>
    <row r="208" spans="1:5" x14ac:dyDescent="0.3">
      <c r="A208" t="s">
        <v>18496</v>
      </c>
      <c r="B208">
        <v>81</v>
      </c>
      <c r="C208" t="str">
        <f t="shared" si="3"/>
        <v xml:space="preserve"> </v>
      </c>
      <c r="D208" t="str">
        <f>IF(COUNTIFS(Tabella1[Città], A208, Tabella1[Categoria],"ALLOGGI AGRITURISTICI")&gt;0,"SI","NO")</f>
        <v>NO</v>
      </c>
      <c r="E208" t="str">
        <f>IF(COUNTIFS(Tabella1[Città], A208, Tabella1[Categoria],"ALBERGHI")&gt;0,"SI","NO")</f>
        <v>SI</v>
      </c>
    </row>
    <row r="209" spans="1:5" x14ac:dyDescent="0.3">
      <c r="A209" t="s">
        <v>18506</v>
      </c>
      <c r="B209">
        <v>57</v>
      </c>
      <c r="C209" t="str">
        <f t="shared" si="3"/>
        <v xml:space="preserve"> </v>
      </c>
      <c r="D209" t="str">
        <f>IF(COUNTIFS(Tabella1[Città], A209, Tabella1[Categoria],"ALLOGGI AGRITURISTICI")&gt;0,"SI","NO")</f>
        <v>SI</v>
      </c>
      <c r="E209" t="str">
        <f>IF(COUNTIFS(Tabella1[Città], A209, Tabella1[Categoria],"ALBERGHI")&gt;0,"SI","NO")</f>
        <v>NO</v>
      </c>
    </row>
    <row r="210" spans="1:5" x14ac:dyDescent="0.3">
      <c r="A210" t="s">
        <v>18529</v>
      </c>
      <c r="B210">
        <v>33</v>
      </c>
      <c r="C210" t="str">
        <f t="shared" si="3"/>
        <v xml:space="preserve"> </v>
      </c>
      <c r="D210" t="str">
        <f>IF(COUNTIFS(Tabella1[Città], A210, Tabella1[Categoria],"ALLOGGI AGRITURISTICI")&gt;0,"SI","NO")</f>
        <v>SI</v>
      </c>
      <c r="E210" t="str">
        <f>IF(COUNTIFS(Tabella1[Città], A210, Tabella1[Categoria],"ALBERGHI")&gt;0,"SI","NO")</f>
        <v>SI</v>
      </c>
    </row>
    <row r="211" spans="1:5" x14ac:dyDescent="0.3">
      <c r="A211" t="s">
        <v>18596</v>
      </c>
      <c r="B211">
        <v>62</v>
      </c>
      <c r="C211" t="str">
        <f t="shared" si="3"/>
        <v xml:space="preserve"> </v>
      </c>
      <c r="D211" t="str">
        <f>IF(COUNTIFS(Tabella1[Città], A211, Tabella1[Categoria],"ALLOGGI AGRITURISTICI")&gt;0,"SI","NO")</f>
        <v>SI</v>
      </c>
      <c r="E211" t="str">
        <f>IF(COUNTIFS(Tabella1[Città], A211, Tabella1[Categoria],"ALBERGHI")&gt;0,"SI","NO")</f>
        <v>NO</v>
      </c>
    </row>
    <row r="212" spans="1:5" x14ac:dyDescent="0.3">
      <c r="A212" t="s">
        <v>18625</v>
      </c>
      <c r="B212">
        <v>82</v>
      </c>
      <c r="C212" t="str">
        <f t="shared" si="3"/>
        <v xml:space="preserve"> </v>
      </c>
      <c r="D212" t="str">
        <f>IF(COUNTIFS(Tabella1[Città], A212, Tabella1[Categoria],"ALLOGGI AGRITURISTICI")&gt;0,"SI","NO")</f>
        <v>SI</v>
      </c>
      <c r="E212" t="str">
        <f>IF(COUNTIFS(Tabella1[Città], A212, Tabella1[Categoria],"ALBERGHI")&gt;0,"SI","NO")</f>
        <v>SI</v>
      </c>
    </row>
    <row r="213" spans="1:5" x14ac:dyDescent="0.3">
      <c r="A213" t="s">
        <v>18660</v>
      </c>
      <c r="B213">
        <v>94</v>
      </c>
      <c r="C213" t="str">
        <f t="shared" si="3"/>
        <v xml:space="preserve"> </v>
      </c>
      <c r="D213" t="str">
        <f>IF(COUNTIFS(Tabella1[Città], A213, Tabella1[Categoria],"ALLOGGI AGRITURISTICI")&gt;0,"SI","NO")</f>
        <v>NO</v>
      </c>
      <c r="E213" t="str">
        <f>IF(COUNTIFS(Tabella1[Città], A213, Tabella1[Categoria],"ALBERGHI")&gt;0,"SI","NO")</f>
        <v>SI</v>
      </c>
    </row>
    <row r="214" spans="1:5" x14ac:dyDescent="0.3">
      <c r="A214" t="s">
        <v>18700</v>
      </c>
      <c r="B214">
        <v>109</v>
      </c>
      <c r="C214" t="str">
        <f t="shared" si="3"/>
        <v xml:space="preserve"> </v>
      </c>
      <c r="D214" t="str">
        <f>IF(COUNTIFS(Tabella1[Città], A214, Tabella1[Categoria],"ALLOGGI AGRITURISTICI")&gt;0,"SI","NO")</f>
        <v>NO</v>
      </c>
      <c r="E214" t="str">
        <f>IF(COUNTIFS(Tabella1[Città], A214, Tabella1[Categoria],"ALBERGHI")&gt;0,"SI","NO")</f>
        <v>NO</v>
      </c>
    </row>
    <row r="215" spans="1:5" x14ac:dyDescent="0.3">
      <c r="A215" t="s">
        <v>18709</v>
      </c>
      <c r="B215">
        <v>112</v>
      </c>
      <c r="C215" t="str">
        <f t="shared" si="3"/>
        <v xml:space="preserve"> </v>
      </c>
      <c r="D215" t="str">
        <f>IF(COUNTIFS(Tabella1[Città], A215, Tabella1[Categoria],"ALLOGGI AGRITURISTICI")&gt;0,"SI","NO")</f>
        <v>SI</v>
      </c>
      <c r="E215" t="str">
        <f>IF(COUNTIFS(Tabella1[Città], A215, Tabella1[Categoria],"ALBERGHI")&gt;0,"SI","NO")</f>
        <v>NO</v>
      </c>
    </row>
    <row r="216" spans="1:5" x14ac:dyDescent="0.3">
      <c r="A216" t="s">
        <v>18764</v>
      </c>
      <c r="B216">
        <v>113</v>
      </c>
      <c r="C216" t="str">
        <f t="shared" si="3"/>
        <v xml:space="preserve"> </v>
      </c>
      <c r="D216" t="str">
        <f>IF(COUNTIFS(Tabella1[Città], A216, Tabella1[Categoria],"ALLOGGI AGRITURISTICI")&gt;0,"SI","NO")</f>
        <v>SI</v>
      </c>
      <c r="E216" t="str">
        <f>IF(COUNTIFS(Tabella1[Città], A216, Tabella1[Categoria],"ALBERGHI")&gt;0,"SI","NO")</f>
        <v>NO</v>
      </c>
    </row>
    <row r="217" spans="1:5" x14ac:dyDescent="0.3">
      <c r="A217" t="s">
        <v>18790</v>
      </c>
      <c r="B217">
        <v>78</v>
      </c>
      <c r="C217" t="str">
        <f t="shared" si="3"/>
        <v xml:space="preserve"> </v>
      </c>
      <c r="D217" t="str">
        <f>IF(COUNTIFS(Tabella1[Città], A217, Tabella1[Categoria],"ALLOGGI AGRITURISTICI")&gt;0,"SI","NO")</f>
        <v>SI</v>
      </c>
      <c r="E217" t="str">
        <f>IF(COUNTIFS(Tabella1[Città], A217, Tabella1[Categoria],"ALBERGHI")&gt;0,"SI","NO")</f>
        <v>SI</v>
      </c>
    </row>
    <row r="218" spans="1:5" x14ac:dyDescent="0.3">
      <c r="A218" t="s">
        <v>18836</v>
      </c>
      <c r="B218">
        <v>114</v>
      </c>
      <c r="C218" t="str">
        <f t="shared" si="3"/>
        <v xml:space="preserve"> </v>
      </c>
      <c r="D218" t="str">
        <f>IF(COUNTIFS(Tabella1[Città], A218, Tabella1[Categoria],"ALLOGGI AGRITURISTICI")&gt;0,"SI","NO")</f>
        <v>SI</v>
      </c>
      <c r="E218" t="str">
        <f>IF(COUNTIFS(Tabella1[Città], A218, Tabella1[Categoria],"ALBERGHI")&gt;0,"SI","NO")</f>
        <v>SI</v>
      </c>
    </row>
    <row r="219" spans="1:5" x14ac:dyDescent="0.3">
      <c r="A219" t="s">
        <v>18849</v>
      </c>
      <c r="B219">
        <v>43</v>
      </c>
      <c r="C219" t="str">
        <f t="shared" si="3"/>
        <v xml:space="preserve"> </v>
      </c>
      <c r="D219" t="str">
        <f>IF(COUNTIFS(Tabella1[Città], A219, Tabella1[Categoria],"ALLOGGI AGRITURISTICI")&gt;0,"SI","NO")</f>
        <v>SI</v>
      </c>
      <c r="E219" t="str">
        <f>IF(COUNTIFS(Tabella1[Città], A219, Tabella1[Categoria],"ALBERGHI")&gt;0,"SI","NO")</f>
        <v>SI</v>
      </c>
    </row>
    <row r="220" spans="1:5" x14ac:dyDescent="0.3">
      <c r="A220" t="s">
        <v>18869</v>
      </c>
      <c r="B220">
        <v>80</v>
      </c>
      <c r="C220" t="str">
        <f t="shared" si="3"/>
        <v xml:space="preserve"> </v>
      </c>
      <c r="D220" t="str">
        <f>IF(COUNTIFS(Tabella1[Città], A220, Tabella1[Categoria],"ALLOGGI AGRITURISTICI")&gt;0,"SI","NO")</f>
        <v>NO</v>
      </c>
      <c r="E220" t="str">
        <f>IF(COUNTIFS(Tabella1[Città], A220, Tabella1[Categoria],"ALBERGHI")&gt;0,"SI","NO")</f>
        <v>NO</v>
      </c>
    </row>
    <row r="221" spans="1:5" x14ac:dyDescent="0.3">
      <c r="A221" t="s">
        <v>18874</v>
      </c>
      <c r="B221">
        <v>93</v>
      </c>
      <c r="C221" t="str">
        <f t="shared" si="3"/>
        <v xml:space="preserve"> </v>
      </c>
      <c r="D221" t="str">
        <f>IF(COUNTIFS(Tabella1[Città], A221, Tabella1[Categoria],"ALLOGGI AGRITURISTICI")&gt;0,"SI","NO")</f>
        <v>SI</v>
      </c>
      <c r="E221" t="str">
        <f>IF(COUNTIFS(Tabella1[Città], A221, Tabella1[Categoria],"ALBERGHI")&gt;0,"SI","NO")</f>
        <v>NO</v>
      </c>
    </row>
    <row r="222" spans="1:5" x14ac:dyDescent="0.3">
      <c r="A222" t="s">
        <v>18883</v>
      </c>
      <c r="B222">
        <v>101</v>
      </c>
      <c r="C222" t="str">
        <f t="shared" si="3"/>
        <v xml:space="preserve"> </v>
      </c>
      <c r="D222" t="str">
        <f>IF(COUNTIFS(Tabella1[Città], A222, Tabella1[Categoria],"ALLOGGI AGRITURISTICI")&gt;0,"SI","NO")</f>
        <v>SI</v>
      </c>
      <c r="E222" t="str">
        <f>IF(COUNTIFS(Tabella1[Città], A222, Tabella1[Categoria],"ALBERGHI")&gt;0,"SI","NO")</f>
        <v>NO</v>
      </c>
    </row>
    <row r="223" spans="1:5" x14ac:dyDescent="0.3">
      <c r="A223" t="s">
        <v>18904</v>
      </c>
      <c r="B223">
        <v>68</v>
      </c>
      <c r="C223" t="str">
        <f t="shared" si="3"/>
        <v xml:space="preserve"> </v>
      </c>
      <c r="D223" t="str">
        <f>IF(COUNTIFS(Tabella1[Città], A223, Tabella1[Categoria],"ALLOGGI AGRITURISTICI")&gt;0,"SI","NO")</f>
        <v>SI</v>
      </c>
      <c r="E223" t="str">
        <f>IF(COUNTIFS(Tabella1[Città], A223, Tabella1[Categoria],"ALBERGHI")&gt;0,"SI","NO")</f>
        <v>NO</v>
      </c>
    </row>
    <row r="224" spans="1:5" x14ac:dyDescent="0.3">
      <c r="A224" t="s">
        <v>18916</v>
      </c>
      <c r="B224">
        <v>53</v>
      </c>
      <c r="C224" t="str">
        <f t="shared" si="3"/>
        <v xml:space="preserve"> </v>
      </c>
      <c r="D224" t="str">
        <f>IF(COUNTIFS(Tabella1[Città], A224, Tabella1[Categoria],"ALLOGGI AGRITURISTICI")&gt;0,"SI","NO")</f>
        <v>SI</v>
      </c>
      <c r="E224" t="str">
        <f>IF(COUNTIFS(Tabella1[Città], A224, Tabella1[Categoria],"ALBERGHI")&gt;0,"SI","NO")</f>
        <v>NO</v>
      </c>
    </row>
    <row r="225" spans="1:5" x14ac:dyDescent="0.3">
      <c r="A225" t="s">
        <v>18951</v>
      </c>
      <c r="B225">
        <v>64</v>
      </c>
      <c r="C225" t="str">
        <f t="shared" si="3"/>
        <v xml:space="preserve"> </v>
      </c>
      <c r="D225" t="str">
        <f>IF(COUNTIFS(Tabella1[Città], A225, Tabella1[Categoria],"ALLOGGI AGRITURISTICI")&gt;0,"SI","NO")</f>
        <v>NO</v>
      </c>
      <c r="E225" t="str">
        <f>IF(COUNTIFS(Tabella1[Città], A225, Tabella1[Categoria],"ALBERGHI")&gt;0,"SI","NO")</f>
        <v>SI</v>
      </c>
    </row>
    <row r="226" spans="1:5" x14ac:dyDescent="0.3">
      <c r="A226" t="s">
        <v>18978</v>
      </c>
      <c r="B226">
        <v>90</v>
      </c>
      <c r="C226" t="str">
        <f t="shared" si="3"/>
        <v xml:space="preserve"> </v>
      </c>
      <c r="D226" t="str">
        <f>IF(COUNTIFS(Tabella1[Città], A226, Tabella1[Categoria],"ALLOGGI AGRITURISTICI")&gt;0,"SI","NO")</f>
        <v>SI</v>
      </c>
      <c r="E226" t="str">
        <f>IF(COUNTIFS(Tabella1[Città], A226, Tabella1[Categoria],"ALBERGHI")&gt;0,"SI","NO")</f>
        <v>SI</v>
      </c>
    </row>
    <row r="227" spans="1:5" x14ac:dyDescent="0.3">
      <c r="A227" t="s">
        <v>19034</v>
      </c>
      <c r="B227">
        <v>105</v>
      </c>
      <c r="C227" t="str">
        <f t="shared" si="3"/>
        <v xml:space="preserve"> </v>
      </c>
      <c r="D227" t="str">
        <f>IF(COUNTIFS(Tabella1[Città], A227, Tabella1[Categoria],"ALLOGGI AGRITURISTICI")&gt;0,"SI","NO")</f>
        <v>SI</v>
      </c>
      <c r="E227" t="str">
        <f>IF(COUNTIFS(Tabella1[Città], A227, Tabella1[Categoria],"ALBERGHI")&gt;0,"SI","NO")</f>
        <v>NO</v>
      </c>
    </row>
    <row r="228" spans="1:5" x14ac:dyDescent="0.3">
      <c r="A228" t="s">
        <v>18089</v>
      </c>
      <c r="B228">
        <v>70</v>
      </c>
      <c r="C228" t="str">
        <f t="shared" si="3"/>
        <v xml:space="preserve"> </v>
      </c>
      <c r="D228" t="str">
        <f>IF(COUNTIFS(Tabella1[Città], A228, Tabella1[Categoria],"ALLOGGI AGRITURISTICI")&gt;0,"SI","NO")</f>
        <v>SI</v>
      </c>
      <c r="E228" t="str">
        <f>IF(COUNTIFS(Tabella1[Città], A228, Tabella1[Categoria],"ALBERGHI")&gt;0,"SI","NO")</f>
        <v>SI</v>
      </c>
    </row>
    <row r="229" spans="1:5" x14ac:dyDescent="0.3">
      <c r="A229" t="s">
        <v>19290</v>
      </c>
      <c r="B229">
        <v>74</v>
      </c>
      <c r="C229" t="str">
        <f t="shared" si="3"/>
        <v xml:space="preserve"> </v>
      </c>
      <c r="D229" t="str">
        <f>IF(COUNTIFS(Tabella1[Città], A229, Tabella1[Categoria],"ALLOGGI AGRITURISTICI")&gt;0,"SI","NO")</f>
        <v>NO</v>
      </c>
      <c r="E229" t="str">
        <f>IF(COUNTIFS(Tabella1[Città], A229, Tabella1[Categoria],"ALBERGHI")&gt;0,"SI","NO")</f>
        <v>SI</v>
      </c>
    </row>
    <row r="230" spans="1:5" x14ac:dyDescent="0.3">
      <c r="A230" t="s">
        <v>19496</v>
      </c>
      <c r="B230">
        <v>110</v>
      </c>
      <c r="C230" t="str">
        <f t="shared" si="3"/>
        <v xml:space="preserve"> </v>
      </c>
      <c r="D230" t="str">
        <f>IF(COUNTIFS(Tabella1[Città], A230, Tabella1[Categoria],"ALLOGGI AGRITURISTICI")&gt;0,"SI","NO")</f>
        <v>SI</v>
      </c>
      <c r="E230" t="str">
        <f>IF(COUNTIFS(Tabella1[Città], A230, Tabella1[Categoria],"ALBERGHI")&gt;0,"SI","NO")</f>
        <v>NO</v>
      </c>
    </row>
    <row r="231" spans="1:5" x14ac:dyDescent="0.3">
      <c r="A231" t="s">
        <v>19507</v>
      </c>
      <c r="B231">
        <v>112</v>
      </c>
      <c r="C231" t="str">
        <f t="shared" si="3"/>
        <v xml:space="preserve"> </v>
      </c>
      <c r="D231" t="str">
        <f>IF(COUNTIFS(Tabella1[Città], A231, Tabella1[Categoria],"ALLOGGI AGRITURISTICI")&gt;0,"SI","NO")</f>
        <v>SI</v>
      </c>
      <c r="E231" t="str">
        <f>IF(COUNTIFS(Tabella1[Città], A231, Tabella1[Categoria],"ALBERGHI")&gt;0,"SI","NO")</f>
        <v>SI</v>
      </c>
    </row>
    <row r="232" spans="1:5" x14ac:dyDescent="0.3">
      <c r="A232" t="s">
        <v>19548</v>
      </c>
      <c r="B232">
        <v>54</v>
      </c>
      <c r="C232" t="str">
        <f t="shared" si="3"/>
        <v xml:space="preserve"> </v>
      </c>
      <c r="D232" t="str">
        <f>IF(COUNTIFS(Tabella1[Città], A232, Tabella1[Categoria],"ALLOGGI AGRITURISTICI")&gt;0,"SI","NO")</f>
        <v>SI</v>
      </c>
      <c r="E232" t="str">
        <f>IF(COUNTIFS(Tabella1[Città], A232, Tabella1[Categoria],"ALBERGHI")&gt;0,"SI","NO")</f>
        <v>NO</v>
      </c>
    </row>
    <row r="233" spans="1:5" x14ac:dyDescent="0.3">
      <c r="A233" t="s">
        <v>19635</v>
      </c>
      <c r="B233">
        <v>83</v>
      </c>
      <c r="C233" t="str">
        <f t="shared" si="3"/>
        <v xml:space="preserve"> </v>
      </c>
      <c r="D233" t="str">
        <f>IF(COUNTIFS(Tabella1[Città], A233, Tabella1[Categoria],"ALLOGGI AGRITURISTICI")&gt;0,"SI","NO")</f>
        <v>SI</v>
      </c>
      <c r="E233" t="str">
        <f>IF(COUNTIFS(Tabella1[Città], A233, Tabella1[Categoria],"ALBERGHI")&gt;0,"SI","NO")</f>
        <v>SI</v>
      </c>
    </row>
    <row r="234" spans="1:5" x14ac:dyDescent="0.3">
      <c r="A234" t="s">
        <v>19656</v>
      </c>
      <c r="B234">
        <v>113</v>
      </c>
      <c r="C234" t="str">
        <f t="shared" si="3"/>
        <v xml:space="preserve"> </v>
      </c>
      <c r="D234" t="str">
        <f>IF(COUNTIFS(Tabella1[Città], A234, Tabella1[Categoria],"ALLOGGI AGRITURISTICI")&gt;0,"SI","NO")</f>
        <v>SI</v>
      </c>
      <c r="E234" t="str">
        <f>IF(COUNTIFS(Tabella1[Città], A234, Tabella1[Categoria],"ALBERGHI")&gt;0,"SI","NO")</f>
        <v>NO</v>
      </c>
    </row>
    <row r="235" spans="1:5" x14ac:dyDescent="0.3">
      <c r="A235" t="s">
        <v>19692</v>
      </c>
      <c r="B235">
        <v>50</v>
      </c>
      <c r="C235" t="str">
        <f t="shared" si="3"/>
        <v xml:space="preserve"> </v>
      </c>
      <c r="D235" t="str">
        <f>IF(COUNTIFS(Tabella1[Città], A235, Tabella1[Categoria],"ALLOGGI AGRITURISTICI")&gt;0,"SI","NO")</f>
        <v>SI</v>
      </c>
      <c r="E235" t="str">
        <f>IF(COUNTIFS(Tabella1[Città], A235, Tabella1[Categoria],"ALBERGHI")&gt;0,"SI","NO")</f>
        <v>NO</v>
      </c>
    </row>
  </sheetData>
  <phoneticPr fontId="20" type="noConversion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14FC-B3E0-4DF5-9FA7-8D36F9404284}">
  <dimension ref="A1:K18"/>
  <sheetViews>
    <sheetView workbookViewId="0">
      <selection activeCell="J12" sqref="J12"/>
    </sheetView>
  </sheetViews>
  <sheetFormatPr defaultRowHeight="14.4" x14ac:dyDescent="0.3"/>
  <cols>
    <col min="1" max="2" width="11.109375" customWidth="1"/>
    <col min="3" max="3" width="11.88671875" customWidth="1"/>
    <col min="4" max="4" width="13" customWidth="1"/>
    <col min="5" max="5" width="28" customWidth="1"/>
    <col min="6" max="6" width="13.88671875" customWidth="1"/>
    <col min="7" max="7" width="11.6640625" customWidth="1"/>
    <col min="8" max="8" width="12.109375" customWidth="1"/>
    <col min="9" max="9" width="14.6640625" customWidth="1"/>
    <col min="10" max="10" width="19.77734375" customWidth="1"/>
  </cols>
  <sheetData>
    <row r="1" spans="1:11" x14ac:dyDescent="0.3">
      <c r="A1" t="s">
        <v>19782</v>
      </c>
    </row>
    <row r="2" spans="1:11" ht="15" thickBot="1" x14ac:dyDescent="0.35"/>
    <row r="3" spans="1:11" x14ac:dyDescent="0.3">
      <c r="A3" s="40" t="s">
        <v>19783</v>
      </c>
      <c r="B3" s="40"/>
      <c r="J3" s="34" t="s">
        <v>19807</v>
      </c>
      <c r="K3" s="41">
        <f>B17-B18*('Output riepilogo'!B8)</f>
        <v>78.71474411553919</v>
      </c>
    </row>
    <row r="4" spans="1:11" x14ac:dyDescent="0.3">
      <c r="A4" s="37" t="s">
        <v>19784</v>
      </c>
      <c r="B4" s="37">
        <v>3.7066970690094098E-2</v>
      </c>
      <c r="J4" s="34" t="s">
        <v>19808</v>
      </c>
    </row>
    <row r="5" spans="1:11" x14ac:dyDescent="0.3">
      <c r="A5" s="37" t="s">
        <v>19785</v>
      </c>
      <c r="B5" s="37">
        <v>1.3739603161402947E-3</v>
      </c>
    </row>
    <row r="6" spans="1:11" x14ac:dyDescent="0.3">
      <c r="A6" s="37" t="s">
        <v>19786</v>
      </c>
      <c r="B6" s="37">
        <v>-2.9304622687039285E-3</v>
      </c>
    </row>
    <row r="7" spans="1:11" x14ac:dyDescent="0.3">
      <c r="A7" s="37" t="s">
        <v>19787</v>
      </c>
      <c r="B7" s="37">
        <v>27.559345371526071</v>
      </c>
    </row>
    <row r="8" spans="1:11" ht="15" thickBot="1" x14ac:dyDescent="0.35">
      <c r="A8" s="38" t="s">
        <v>19788</v>
      </c>
      <c r="B8" s="38">
        <v>234</v>
      </c>
    </row>
    <row r="10" spans="1:11" ht="18.600000000000001" thickBot="1" x14ac:dyDescent="0.4">
      <c r="A10" t="s">
        <v>19789</v>
      </c>
      <c r="J10" s="29" t="s">
        <v>19771</v>
      </c>
    </row>
    <row r="11" spans="1:11" x14ac:dyDescent="0.3">
      <c r="A11" s="39"/>
      <c r="B11" s="39" t="s">
        <v>19794</v>
      </c>
      <c r="C11" s="39" t="s">
        <v>19795</v>
      </c>
      <c r="D11" s="39" t="s">
        <v>19796</v>
      </c>
      <c r="E11" s="39" t="s">
        <v>19797</v>
      </c>
      <c r="F11" s="39" t="s">
        <v>19798</v>
      </c>
      <c r="J11" s="34" t="s">
        <v>19809</v>
      </c>
      <c r="K11" s="41">
        <f>74.03+(-0.02*158)</f>
        <v>70.87</v>
      </c>
    </row>
    <row r="12" spans="1:11" x14ac:dyDescent="0.3">
      <c r="A12" s="37" t="s">
        <v>19790</v>
      </c>
      <c r="B12" s="37">
        <v>1</v>
      </c>
      <c r="C12" s="37">
        <v>242.43598476311308</v>
      </c>
      <c r="D12" s="37">
        <v>242.43598476311308</v>
      </c>
      <c r="E12" s="37">
        <v>0.31919735784724734</v>
      </c>
      <c r="F12" s="37">
        <v>0.57263629861967202</v>
      </c>
      <c r="J12" s="34" t="s">
        <v>19810</v>
      </c>
    </row>
    <row r="13" spans="1:11" x14ac:dyDescent="0.3">
      <c r="A13" s="37" t="s">
        <v>19791</v>
      </c>
      <c r="B13" s="37">
        <v>232</v>
      </c>
      <c r="C13" s="37">
        <v>176208.06401523689</v>
      </c>
      <c r="D13" s="37">
        <v>759.51751730705553</v>
      </c>
      <c r="E13" s="37"/>
      <c r="F13" s="37"/>
    </row>
    <row r="14" spans="1:11" ht="15" thickBot="1" x14ac:dyDescent="0.35">
      <c r="A14" s="38" t="s">
        <v>19792</v>
      </c>
      <c r="B14" s="38">
        <v>233</v>
      </c>
      <c r="C14" s="38">
        <v>176450.5</v>
      </c>
      <c r="D14" s="38"/>
      <c r="E14" s="38"/>
      <c r="F14" s="38"/>
    </row>
    <row r="15" spans="1:11" ht="15" thickBot="1" x14ac:dyDescent="0.35"/>
    <row r="16" spans="1:11" x14ac:dyDescent="0.3">
      <c r="A16" s="39"/>
      <c r="B16" s="39" t="s">
        <v>19799</v>
      </c>
      <c r="C16" s="39" t="s">
        <v>19787</v>
      </c>
      <c r="D16" s="39" t="s">
        <v>19800</v>
      </c>
      <c r="E16" s="39" t="s">
        <v>19801</v>
      </c>
      <c r="F16" s="39" t="s">
        <v>19802</v>
      </c>
      <c r="G16" s="39" t="s">
        <v>19803</v>
      </c>
      <c r="H16" s="39" t="s">
        <v>19804</v>
      </c>
      <c r="I16" s="39" t="s">
        <v>19805</v>
      </c>
    </row>
    <row r="17" spans="1:9" x14ac:dyDescent="0.3">
      <c r="A17" s="37" t="s">
        <v>19793</v>
      </c>
      <c r="B17" s="37">
        <v>74.034628582430997</v>
      </c>
      <c r="C17" s="37">
        <v>2.0350083592774686</v>
      </c>
      <c r="D17" s="37">
        <v>36.380503423935345</v>
      </c>
      <c r="E17" s="37">
        <v>7.7952677412871605E-98</v>
      </c>
      <c r="F17" s="37">
        <v>70.025169772461766</v>
      </c>
      <c r="G17" s="37">
        <v>78.044087392400229</v>
      </c>
      <c r="H17" s="37">
        <v>70.025169772461766</v>
      </c>
      <c r="I17" s="37">
        <v>78.044087392400229</v>
      </c>
    </row>
    <row r="18" spans="1:9" ht="15" thickBot="1" x14ac:dyDescent="0.35">
      <c r="A18" s="38" t="s">
        <v>19806</v>
      </c>
      <c r="B18" s="38">
        <v>-2.0000493731231625E-2</v>
      </c>
      <c r="C18" s="38">
        <v>3.5400636678333854E-2</v>
      </c>
      <c r="D18" s="38">
        <v>-0.56497553738835626</v>
      </c>
      <c r="E18" s="38">
        <v>0.57263629861966314</v>
      </c>
      <c r="F18" s="38">
        <v>-8.9748312683120543E-2</v>
      </c>
      <c r="G18" s="38">
        <v>4.9747325220657293E-2</v>
      </c>
      <c r="H18" s="38">
        <v>-8.9748312683120543E-2</v>
      </c>
      <c r="I18" s="38">
        <v>4.9747325220657293E-2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2BE541-7B5A-44FA-A614-EB6FCE8919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7</vt:i4>
      </vt:variant>
    </vt:vector>
  </HeadingPairs>
  <TitlesOfParts>
    <vt:vector size="14" baseType="lpstr">
      <vt:lpstr>Tabella1</vt:lpstr>
      <vt:lpstr>Strutture ricettive</vt:lpstr>
      <vt:lpstr>prezzi1</vt:lpstr>
      <vt:lpstr>RICERCA (+es)</vt:lpstr>
      <vt:lpstr>Foglio4</vt:lpstr>
      <vt:lpstr>prezzi (2)</vt:lpstr>
      <vt:lpstr>Output riepilogo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gyori</cp:lastModifiedBy>
  <dcterms:created xsi:type="dcterms:W3CDTF">2006-09-16T00:00:00Z</dcterms:created>
  <dcterms:modified xsi:type="dcterms:W3CDTF">2026-08-03T14:01:32Z</dcterms:modified>
</cp:coreProperties>
</file>